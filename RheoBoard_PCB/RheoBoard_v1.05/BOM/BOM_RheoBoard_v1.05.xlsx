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7782c5e18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9d70a3a61b4d8c"/>
    <x:sheet xmlns:r="http://schemas.openxmlformats.org/officeDocument/2006/relationships" name="Manual accessories" sheetId="2" r:id="R990a9440e7d0479d"/>
    <x:sheet xmlns:r="http://schemas.openxmlformats.org/officeDocument/2006/relationships" name="JLCPCB SMT only" sheetId="3" r:id="R2af93f5fe7ed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0.0000"/>
    <x:numFmt numFmtId="202" formatCode="$0.00"/>
  </x:numFmts>
  <x:fonts count="4">
    <x:font>
      <x:sz val="11"/>
      <x:name val="Carlito"/>
    </x:font>
    <x:font>
      <x:sz val="11"/>
      <x:name val="Times New Roman"/>
    </x:font>
    <x:font>
      <x:b/>
      <x:sz val="11"/>
      <x:name val="Times New Roman"/>
    </x:font>
    <x:font>
      <x:b/>
      <x:sz val="11"/>
      <x:color rgb="FFFFFFFF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EBCE"/>
      </x:patternFill>
    </x:fill>
    <x:fill>
      <x:patternFill patternType="solid">
        <x:fgColor rgb="FF4F81BD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40c559a734968" /><Relationship Type="http://schemas.openxmlformats.org/officeDocument/2006/relationships/theme" Target="/xl/theme/theme1.xml" Id="Rbc96065984594d8b" /><Relationship Type="http://schemas.openxmlformats.org/officeDocument/2006/relationships/sharedStrings" Target="/xl/sharedStrings.xml" Id="R0de0d126ebd24443" /><Relationship Type="http://schemas.openxmlformats.org/officeDocument/2006/relationships/worksheet" Target="/xl/worksheets/sheet1.xml" Id="Rc49d70a3a61b4d8c" /><Relationship Type="http://schemas.openxmlformats.org/officeDocument/2006/relationships/worksheet" Target="/xl/worksheets/sheet2.xml" Id="R990a9440e7d0479d" /><Relationship Type="http://schemas.openxmlformats.org/officeDocument/2006/relationships/worksheet" Target="/xl/worksheets/sheet3.xml" Id="R2af93f5fe7ed4dbe" /></Relationships>
</file>

<file path=xl/tables/table1.xml><?xml version="1.0" encoding="utf-8"?>
<x:table xmlns:x="http://schemas.openxmlformats.org/spreadsheetml/2006/main" id="9" name="RheoBoard105Parts" displayName="RheoBoard105Parts" ref="A1:M49" headerRowCount="1" totalsRowCount="0" totalsRowShown="0">
  <x:tableColumns count="13">
    <x:tableColumn id="1" name="Comment"/>
    <x:tableColumn id="2" name="Designator"/>
    <x:tableColumn id="3" name="Footprint"/>
    <x:tableColumn id="4" name="LCSC / JLCPCB part"/>
    <x:tableColumn id="5" name="Qty"/>
    <x:tableColumn id="6" name="Legacy unit estimate (USD)"/>
    <x:tableColumn id="7" name="Priced subtotal (USD)"/>
    <x:tableColumn id="8" name="Selected part source"/>
    <x:tableColumn id="9" name="Datasheet / specification"/>
    <x:tableColumn id="10" name="Manufacturer part number"/>
    <x:tableColumn id="11" name="Manufacturer"/>
    <x:tableColumn id="12" name="Assembly"/>
    <x:tableColumn id="13" name="Revis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RheoBoard105Accessories" displayName="RheoBoard105Accessories" ref="A1:G7" headerRowCount="1" totalsRowCount="0" totalsRowShown="0">
  <x:tableColumns count="7">
    <x:tableColumn id="1" name="Item"/>
    <x:tableColumn id="2" name="Quantity basis"/>
    <x:tableColumn id="3" name="Manufacturer / supplier"/>
    <x:tableColumn id="4" name="Part number"/>
    <x:tableColumn id="5" name="Purpose"/>
    <x:tableColumn id="6" name="Source"/>
    <x:tableColumn id="7" name="Assembly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0" name="RheoBoard105SMT" displayName="RheoBoard105SMT" ref="A1:D44" headerRowCount="1" totalsRowCount="0" totalsRowShown="0">
  <x:tableColumns count="4">
    <x:tableColumn id="1" name="Comment"/>
    <x:tableColumn id="2" name="Designator"/>
    <x:tableColumn id="3" name="Footprint"/>
    <x:tableColumn id="4" name="LCSC Part #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0eec40d6a743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7d9bc7a0b947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8198dae4ab402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58" hidden="0" customWidth="1"/>
    <x:col min="4" max="4" width="20" hidden="0" customWidth="1"/>
    <x:col min="5" max="5" width="7" hidden="0" customWidth="1"/>
    <x:col min="6" max="6" width="18" hidden="0" customWidth="1"/>
    <x:col min="7" max="7" width="18" hidden="0" customWidth="1"/>
    <x:col min="8" max="8" width="46" hidden="0" customWidth="1"/>
    <x:col min="9" max="9" width="52" hidden="0" customWidth="1"/>
    <x:col min="10" max="10" width="32" hidden="0" customWidth="1"/>
    <x:col min="11" max="11" width="22" hidden="0" customWidth="1"/>
    <x:col min="12" max="12" width="15" hidden="0" customWidth="1"/>
    <x:col min="13" max="13" width="55" hidden="0" customWidth="1"/>
  </x:cols>
  <x:sheetData>
    <x:row r="1" ht="36" customHeight="1">
      <x:c r="A1" s="18" t="str">
        <x:v>Comment</x:v>
      </x:c>
      <x:c r="B1" s="18" t="str">
        <x:v>Designator</x:v>
      </x:c>
      <x:c r="C1" s="18" t="str">
        <x:v>Footprint</x:v>
      </x:c>
      <x:c r="D1" s="18" t="str">
        <x:v>LCSC / JLCPCB part</x:v>
      </x:c>
      <x:c r="E1" s="18" t="str">
        <x:v>Qty</x:v>
      </x:c>
      <x:c r="F1" s="18" t="str">
        <x:v>Legacy unit estimate (USD)</x:v>
      </x:c>
      <x:c r="G1" s="18" t="str">
        <x:v>Priced subtotal (USD)</x:v>
      </x:c>
      <x:c r="H1" s="18" t="str">
        <x:v>Selected part source</x:v>
      </x:c>
      <x:c r="I1" s="18" t="str">
        <x:v>Datasheet / specification</x:v>
      </x:c>
      <x:c r="J1" s="18" t="str">
        <x:v>Manufacturer part number</x:v>
      </x:c>
      <x:c r="K1" s="18" t="str">
        <x:v>Manufacturer</x:v>
      </x:c>
      <x:c r="L1" s="18" t="str">
        <x:v>Assembly</x:v>
      </x:c>
      <x:c r="M1" s="18" t="str">
        <x:v>Revision notes</x:v>
      </x:c>
    </x:row>
    <x:row r="2" ht="53" customHeight="1">
      <x:c r="A2" s="7" t="str">
        <x:v>10uF 25V X5R ±10%</x:v>
      </x:c>
      <x:c r="B2" s="7" t="str">
        <x:v>C1, C2, C8, C9, C15, C16</x:v>
      </x:c>
      <x:c r="C2" s="7" t="str">
        <x:v>Capacitor_SMD:C_0805_2012Metric_Pad1.18x1.45mm_HandSolder</x:v>
      </x:c>
      <x:c r="D2" s="7" t="str">
        <x:v>C5448891</x:v>
      </x:c>
      <x:c r="E2" s="8" t="n">
        <x:v>6</x:v>
      </x:c>
      <x:c r="F2" s="9" t="n">
        <x:v>0.256</x:v>
      </x:c>
      <x:c r="G2" s="9" t="n">
        <x:f>IF(ISNUMBER(F2),E2*F2,"")</x:f>
        <x:v>1.536</x:v>
      </x:c>
      <x:c r="H2" s="7" t="str">
        <x:v>https://www.lcsc.com/product-detail/C5448891.html</x:v>
      </x:c>
      <x:c r="I2" s="7"/>
      <x:c r="J2" s="7" t="str">
        <x:v>TCC0805X5R106K250FT</x:v>
      </x:c>
      <x:c r="K2" s="7" t="str">
        <x:v>CCTC</x:v>
      </x:c>
      <x:c r="L2" s="7" t="str">
        <x:v>SMT</x:v>
      </x:c>
      <x:c r="M2" s="7"/>
    </x:row>
    <x:row r="3" ht="126" customHeight="1">
      <x:c r="A3" s="7" t="str">
        <x:v>100nF 50V X7R ±10%</x:v>
      </x:c>
      <x:c r="B3" s="7" t="str">
        <x:v>C3, C4, C5, C23, C24, C25, C26, C30, C31, C33, C42, C44, C46, C56, C59, C63, C68, C69</x:v>
      </x:c>
      <x:c r="C3" s="7" t="str">
        <x:v>Capacitor_SMD:C_0603_1608Metric_Pad1.08x0.95mm_HandSolder</x:v>
      </x:c>
      <x:c r="D3" s="7" t="str">
        <x:v>C14663</x:v>
      </x:c>
      <x:c r="E3" s="8" t="n">
        <x:v>18</x:v>
      </x:c>
      <x:c r="F3" s="9" t="n">
        <x:v>0.073</x:v>
      </x:c>
      <x:c r="G3" s="9" t="n">
        <x:f>IF(ISNUMBER(F3),E3*F3,"")</x:f>
        <x:v>1.3139999999999998</x:v>
      </x:c>
      <x:c r="H3" s="7" t="str">
        <x:v>https://www.lcsc.com/product-detail/C14663.html</x:v>
      </x:c>
      <x:c r="I3" s="7"/>
      <x:c r="J3" s="7" t="str">
        <x:v>CC0603KRX7R9BB104</x:v>
      </x:c>
      <x:c r="K3" s="7" t="str">
        <x:v>YAGEO</x:v>
      </x:c>
      <x:c r="L3" s="7" t="str">
        <x:v>SMT</x:v>
      </x:c>
      <x:c r="M3" s="7" t="str">
        <x:v>C68/C69 added as local/host U13 supply bypass.</x:v>
      </x:c>
    </x:row>
    <x:row r="4" ht="53" customHeight="1">
      <x:c r="A4" s="7" t="str">
        <x:v>1nF 50V X7R ±5%</x:v>
      </x:c>
      <x:c r="B4" s="7" t="str">
        <x:v>C27</x:v>
      </x:c>
      <x:c r="C4" s="7" t="str">
        <x:v>Capacitor_SMD:C_0603_1608Metric_Pad1.08x0.95mm_HandSolder</x:v>
      </x:c>
      <x:c r="D4" s="7" t="str">
        <x:v>C5360811</x:v>
      </x:c>
      <x:c r="E4" s="8" t="n">
        <x:v>1</x:v>
      </x:c>
      <x:c r="F4" s="9" t="n">
        <x:v>0.052</x:v>
      </x:c>
      <x:c r="G4" s="9" t="n">
        <x:f>IF(ISNUMBER(F4),E4*F4,"")</x:f>
        <x:v>0.052</x:v>
      </x:c>
      <x:c r="H4" s="7" t="str">
        <x:v>https://www.lcsc.com/product-detail/C5360811.html</x:v>
      </x:c>
      <x:c r="I4" s="7"/>
      <x:c r="J4" s="7" t="str">
        <x:v>TCC0603X7R102J500CT</x:v>
      </x:c>
      <x:c r="K4" s="7" t="str">
        <x:v>CCTC</x:v>
      </x:c>
      <x:c r="L4" s="7" t="str">
        <x:v>SMT</x:v>
      </x:c>
      <x:c r="M4" s="7"/>
    </x:row>
    <x:row r="5" ht="53" customHeight="1">
      <x:c r="A5" s="7" t="str">
        <x:v>10uF 25V X5R ±10%</x:v>
      </x:c>
      <x:c r="B5" s="7" t="str">
        <x:v>C28, C29</x:v>
      </x:c>
      <x:c r="C5" s="7" t="str">
        <x:v>Capacitor_SMD:C_0603_1608Metric_Pad1.08x0.95mm_HandSolder</x:v>
      </x:c>
      <x:c r="D5" s="7" t="str">
        <x:v>C7393892</x:v>
      </x:c>
      <x:c r="E5" s="8" t="n">
        <x:v>2</x:v>
      </x:c>
      <x:c r="F5" s="9" t="n">
        <x:v>0.165</x:v>
      </x:c>
      <x:c r="G5" s="9" t="n">
        <x:f>IF(ISNUMBER(F5),E5*F5,"")</x:f>
        <x:v>0.33</x:v>
      </x:c>
      <x:c r="H5" s="7" t="str">
        <x:v>https://www.lcsc.com/product-detail/C7393892.html</x:v>
      </x:c>
      <x:c r="I5" s="7"/>
      <x:c r="J5" s="7" t="str">
        <x:v>TCC0603X5R106K250CT</x:v>
      </x:c>
      <x:c r="K5" s="7" t="str">
        <x:v>CCTC</x:v>
      </x:c>
      <x:c r="L5" s="7" t="str">
        <x:v>SMT</x:v>
      </x:c>
      <x:c r="M5" s="7"/>
    </x:row>
    <x:row r="6" ht="53" customHeight="1">
      <x:c r="A6" s="7" t="str">
        <x:v>22uF 50V ±20%</x:v>
      </x:c>
      <x:c r="B6" s="7" t="str">
        <x:v>C32, C34, C43, C45</x:v>
      </x:c>
      <x:c r="C6" s="7" t="str">
        <x:v>Capacitor_SMD:CP_Elec_6.3x5.8</x:v>
      </x:c>
      <x:c r="D6" s="7" t="str">
        <x:v>C128458</x:v>
      </x:c>
      <x:c r="E6" s="8" t="n">
        <x:v>4</x:v>
      </x:c>
      <x:c r="F6" s="10"/>
      <x:c r="G6" s="9" t="str">
        <x:f>IF(ISNUMBER(F6),E6*F6,"")</x:f>
      </x:c>
      <x:c r="H6" s="7" t="str">
        <x:v>https://industrial.panasonic.com/ww/products/pt/aluminum-cap-smd/models/EEEFK1H220P</x:v>
      </x:c>
      <x:c r="I6" s="7" t="str">
        <x:v>https://industrial.panasonic.com/cdbs/www-data/pdf/RDE0000/ABA0000C776.pdf</x:v>
      </x:c>
      <x:c r="J6" s="7" t="str">
        <x:v>EEEFK1H220P</x:v>
      </x:c>
      <x:c r="K6" s="7" t="str">
        <x:v>Panasonic</x:v>
      </x:c>
      <x:c r="L6" s="7" t="str">
        <x:v>SMT</x:v>
      </x:c>
      <x:c r="M6" s="7" t="str">
        <x:v>Reduced from 100uF to 22uF; each pump/valve rail is approximately 88.3uF nominal. Bench transient validation remains required.</x:v>
      </x:c>
    </x:row>
    <x:row r="7" ht="53" customHeight="1">
      <x:c r="A7" s="7" t="str">
        <x:v>22uF 25V X5R ±20%</x:v>
      </x:c>
      <x:c r="B7" s="7" t="str">
        <x:v>C52, C53, C54, C57, C60, C61</x:v>
      </x:c>
      <x:c r="C7" s="7" t="str">
        <x:v>Capacitor_SMD:C_0805_2012Metric_Pad1.18x1.45mm_HandSolder</x:v>
      </x:c>
      <x:c r="D7" s="7" t="str">
        <x:v>C20416420</x:v>
      </x:c>
      <x:c r="E7" s="8" t="n">
        <x:v>6</x:v>
      </x:c>
      <x:c r="F7" s="9" t="n">
        <x:v>0.216</x:v>
      </x:c>
      <x:c r="G7" s="9" t="n">
        <x:f>IF(ISNUMBER(F7),E7*F7,"")</x:f>
        <x:v>1.296</x:v>
      </x:c>
      <x:c r="H7" s="7" t="str">
        <x:v>https://www.lcsc.com/product-detail/C20416420.html</x:v>
      </x:c>
      <x:c r="I7" s="7"/>
      <x:c r="J7" s="7" t="str">
        <x:v>TCC0805X5R226M250FT</x:v>
      </x:c>
      <x:c r="K7" s="7" t="str">
        <x:v>CCTC</x:v>
      </x:c>
      <x:c r="L7" s="7" t="str">
        <x:v>SMT</x:v>
      </x:c>
      <x:c r="M7" s="7"/>
    </x:row>
    <x:row r="8" ht="53" customHeight="1">
      <x:c r="A8" s="7" t="str">
        <x:v>18pF 50V C0G ±2%</x:v>
      </x:c>
      <x:c r="B8" s="7" t="str">
        <x:v>C55, C58, C62</x:v>
      </x:c>
      <x:c r="C8" s="7" t="str">
        <x:v>Capacitor_SMD:C_0603_1608Metric_Pad1.08x0.95mm_HandSolder</x:v>
      </x:c>
      <x:c r="D8" s="7" t="str">
        <x:v>C2169079</x:v>
      </x:c>
      <x:c r="E8" s="8" t="n">
        <x:v>3</x:v>
      </x:c>
      <x:c r="F8" s="9" t="n">
        <x:v>0.043</x:v>
      </x:c>
      <x:c r="G8" s="9" t="n">
        <x:f>IF(ISNUMBER(F8),E8*F8,"")</x:f>
        <x:v>0.129</x:v>
      </x:c>
      <x:c r="H8" s="7" t="str">
        <x:v>https://www.lcsc.com/product-detail/C2169079.html</x:v>
      </x:c>
      <x:c r="I8" s="7"/>
      <x:c r="J8" s="7" t="str">
        <x:v>VJ0603A180GXACW1BC</x:v>
      </x:c>
      <x:c r="K8" s="7" t="str">
        <x:v>VISHAY</x:v>
      </x:c>
      <x:c r="L8" s="7" t="str">
        <x:v>SMT</x:v>
      </x:c>
      <x:c r="M8" s="7"/>
    </x:row>
    <x:row r="9" ht="53" customHeight="1">
      <x:c r="A9" s="7" t="str">
        <x:v>3.3nF 50V X7R ±10%</x:v>
      </x:c>
      <x:c r="B9" s="7" t="str">
        <x:v>C64</x:v>
      </x:c>
      <x:c r="C9" s="7" t="str">
        <x:v>Capacitor_SMD:C_0603_1608Metric</x:v>
      </x:c>
      <x:c r="D9" s="7" t="str">
        <x:v>C107088</x:v>
      </x:c>
      <x:c r="E9" s="8" t="n">
        <x:v>1</x:v>
      </x:c>
      <x:c r="F9" s="10"/>
      <x:c r="G9" s="9" t="str">
        <x:f>IF(ISNUMBER(F9),E9*F9,"")</x:f>
      </x:c>
      <x:c r="H9" s="7" t="str">
        <x:v>https://www.lcsc.com/product-detail/C107088.html</x:v>
      </x:c>
      <x:c r="I9" s="7"/>
      <x:c r="J9" s="7" t="str">
        <x:v>CC0603KRX7R9BB332</x:v>
      </x:c>
      <x:c r="K9" s="7" t="str">
        <x:v>YAGEO</x:v>
      </x:c>
      <x:c r="L9" s="7" t="str">
        <x:v>SMT</x:v>
      </x:c>
      <x:c r="M9" s="7" t="str">
        <x:v>New controlled-startup timing capacitor for U12.</x:v>
      </x:c>
    </x:row>
    <x:row r="10" ht="53" customHeight="1">
      <x:c r="A10" s="7" t="str">
        <x:v>1uF 50V X7R ±10%</x:v>
      </x:c>
      <x:c r="B10" s="7" t="str">
        <x:v>C65</x:v>
      </x:c>
      <x:c r="C10" s="7" t="str">
        <x:v>Capacitor_SMD:C_0805_2012Metric</x:v>
      </x:c>
      <x:c r="D10" s="7" t="str">
        <x:v>C91185</x:v>
      </x:c>
      <x:c r="E10" s="8" t="n">
        <x:v>1</x:v>
      </x:c>
      <x:c r="F10" s="10"/>
      <x:c r="G10" s="9" t="str">
        <x:f>IF(ISNUMBER(F10),E10*F10,"")</x:f>
      </x:c>
      <x:c r="H10" s="7" t="str">
        <x:v>https://www.lcsc.com/product-detail/C91185.html</x:v>
      </x:c>
      <x:c r="I10" s="7" t="str">
        <x:v>https://www.yageogroup.com/download/specsheet/CC0805KKX7R9BB105</x:v>
      </x:c>
      <x:c r="J10" s="7" t="str">
        <x:v>CC0805KKX7R9BB105</x:v>
      </x:c>
      <x:c r="K10" s="7" t="str">
        <x:v>YAGEO</x:v>
      </x:c>
      <x:c r="L10" s="7" t="str">
        <x:v>SMT</x:v>
      </x:c>
      <x:c r="M10" s="7" t="str">
        <x:v>New local input bypass for U12; place beside IN/GND.</x:v>
      </x:c>
    </x:row>
    <x:row r="11" ht="53" customHeight="1">
      <x:c r="A11" s="7" t="str">
        <x:v>100nF 50V X7R ±10%</x:v>
      </x:c>
      <x:c r="B11" s="7" t="str">
        <x:v>C66</x:v>
      </x:c>
      <x:c r="C11" s="7" t="str">
        <x:v>Capacitor_SMD:C_0603_1608Metric</x:v>
      </x:c>
      <x:c r="D11" s="7" t="str">
        <x:v>C14663</x:v>
      </x:c>
      <x:c r="E11" s="8" t="n">
        <x:v>1</x:v>
      </x:c>
      <x:c r="F11" s="9" t="n">
        <x:v>0.073</x:v>
      </x:c>
      <x:c r="G11" s="9" t="n">
        <x:f>IF(ISNUMBER(F11),E11*F11,"")</x:f>
        <x:v>0.073</x:v>
      </x:c>
      <x:c r="H11" s="7" t="str">
        <x:v>https://www.lcsc.com/product-detail/C14663.html</x:v>
      </x:c>
      <x:c r="I11" s="7"/>
      <x:c r="J11" s="7" t="str">
        <x:v>CC0603KRX7R9BB104</x:v>
      </x:c>
      <x:c r="K11" s="7" t="str">
        <x:v>YAGEO</x:v>
      </x:c>
      <x:c r="L11" s="7" t="str">
        <x:v>SMT</x:v>
      </x:c>
      <x:c r="M11" s="7" t="str">
        <x:v>New local input high-frequency bypass for U12.</x:v>
      </x:c>
    </x:row>
    <x:row r="12" ht="53" customHeight="1">
      <x:c r="A12" s="7" t="str">
        <x:v>4.7uF 50V X7R ±10%</x:v>
      </x:c>
      <x:c r="B12" s="7" t="str">
        <x:v>C67</x:v>
      </x:c>
      <x:c r="C12" s="7" t="str">
        <x:v>Capacitor_SMD:C_1206_3216Metric</x:v>
      </x:c>
      <x:c r="D12" s="7" t="str">
        <x:v>C132170</x:v>
      </x:c>
      <x:c r="E12" s="8" t="n">
        <x:v>1</x:v>
      </x:c>
      <x:c r="F12" s="10"/>
      <x:c r="G12" s="9" t="str">
        <x:f>IF(ISNUMBER(F12),E12*F12,"")</x:f>
      </x:c>
      <x:c r="H12" s="7" t="str">
        <x:v>https://www.lcsc.com/product-detail/C132170.html</x:v>
      </x:c>
      <x:c r="I12" s="7" t="str">
        <x:v>https://www.yageogroup.com/download/specsheet/CC1206KKX7R9BB475</x:v>
      </x:c>
      <x:c r="J12" s="7" t="str">
        <x:v>CC1206KKX7R9BB475</x:v>
      </x:c>
      <x:c r="K12" s="7" t="str">
        <x:v>YAGEO</x:v>
      </x:c>
      <x:c r="L12" s="7" t="str">
        <x:v>SMT</x:v>
      </x:c>
      <x:c r="M12" s="7" t="str">
        <x:v>New local output bypass for U12; place beside OUT/GND.</x:v>
      </x:c>
    </x:row>
    <x:row r="13" ht="53" customHeight="1">
      <x:c r="A13" s="7" t="str">
        <x:v>DMP6023LE-13</x:v>
      </x:c>
      <x:c r="B13" s="7" t="str">
        <x:v>Q11</x:v>
      </x:c>
      <x:c r="C13" s="7" t="str">
        <x:v>RheoBoard:SOT-223-3_TabPin2_DFM</x:v>
      </x:c>
      <x:c r="D13" s="7" t="str">
        <x:v>C154901</x:v>
      </x:c>
      <x:c r="E13" s="8" t="n">
        <x:v>1</x:v>
      </x:c>
      <x:c r="F13" s="10"/>
      <x:c r="G13" s="9" t="str">
        <x:f>IF(ISNUMBER(F13),E13*F13,"")</x:f>
      </x:c>
      <x:c r="H13" s="7" t="str">
        <x:v>https://www.lcsc.com/product-detail/C154901.html</x:v>
      </x:c>
      <x:c r="I13" s="7" t="str">
        <x:v>https://www.diodes.com/datasheet/download/DMP6023LE.pdf</x:v>
      </x:c>
      <x:c r="J13" s="7" t="str">
        <x:v>DMP6023LE-13</x:v>
      </x:c>
      <x:c r="K13" s="7" t="str">
        <x:v>Diodes Incorporated</x:v>
      </x:c>
      <x:c r="L13" s="7" t="str">
        <x:v>SMT</x:v>
      </x:c>
      <x:c r="M13" s="7" t="str">
        <x:v>Replaces D1 with lower-loss reverse-polarity protection. 1 gate, 2 drain/tab to fused input, 3 source to VIN_RAW.</x:v>
      </x:c>
    </x:row>
    <x:row r="14" ht="53" customHeight="1">
      <x:c r="A14" s="7" t="str">
        <x:v>LED_Red</x:v>
      </x:c>
      <x:c r="B14" s="7" t="str">
        <x:v>D6, D7, D8, D13, D14, D15, D17, D19</x:v>
      </x:c>
      <x:c r="C14" s="7" t="inlineStr">
        <x:is>
          <x:t xml:space="preserve">RheoBoard:LED_SZYY0603R_A1_K2_HandSolder</x:t>
        </x:is>
      </x:c>
      <x:c r="D14" s="7" t="str">
        <x:v>C434419</x:v>
      </x:c>
      <x:c r="E14" s="8" t="n">
        <x:v>8</x:v>
      </x:c>
      <x:c r="F14" s="9" t="n">
        <x:v>0.098</x:v>
      </x:c>
      <x:c r="G14" s="9" t="n">
        <x:f>IF(ISNUMBER(F14),E14*F14,"")</x:f>
        <x:v>0.784</x:v>
      </x:c>
      <x:c r="H14" s="7" t="str">
        <x:v>https://www.lcsc.com/product-detail/C434419.html</x:v>
      </x:c>
      <x:c r="I14" s="7" t="inlineStr">
        <x:is>
          <x:t xml:space="preserve">https://datasheet.lcsc.com/datasheet/pdf/7948f9a4498910c84f6e992ff3fa9e63.pdf</x:t>
        </x:is>
      </x:c>
      <x:c r="J14" s="7" t="str">
        <x:v>SZYY0603R</x:v>
      </x:c>
      <x:c r="K14" s="7" t="str">
        <x:v>Yongyu Photoelectric</x:v>
      </x:c>
      <x:c r="L14" s="7" t="str">
        <x:v>SMT</x:v>
      </x:c>
      <x:c r="M14" s="7" t="inlineStr">
        <x:is>
          <x:t xml:space="preserve">Manufacturer numbering: 1=A(+), 2=K(-). Cathode bar marks pad 2. See LED assembly guide.</x:t>
        </x:is>
      </x:c>
    </x:row>
    <x:row r="15" ht="53" customHeight="1">
      <x:c r="A15" s="7" t="str">
        <x:v>SS34</x:v>
      </x:c>
      <x:c r="B15" s="7" t="str">
        <x:v>D11, D12, D16, D18</x:v>
      </x:c>
      <x:c r="C15" s="7" t="str">
        <x:v>Diode_SMD:D_SMA</x:v>
      </x:c>
      <x:c r="D15" s="7" t="str">
        <x:v>C115205</x:v>
      </x:c>
      <x:c r="E15" s="8" t="n">
        <x:v>4</x:v>
      </x:c>
      <x:c r="F15" s="9" t="n">
        <x:v>0.467</x:v>
      </x:c>
      <x:c r="G15" s="9" t="n">
        <x:f>IF(ISNUMBER(F15),E15*F15,"")</x:f>
        <x:v>1.868</x:v>
      </x:c>
      <x:c r="H15" s="7" t="str">
        <x:v>https://www.lcsc.com/product-detail/C115205.html</x:v>
      </x:c>
      <x:c r="I15" s="7"/>
      <x:c r="J15" s="7" t="str">
        <x:v>SS34</x:v>
      </x:c>
      <x:c r="K15" s="7" t="str">
        <x:v>Jingdao Microelectronics</x:v>
      </x:c>
      <x:c r="L15" s="7" t="str">
        <x:v>SMT</x:v>
      </x:c>
      <x:c r="M15" s="7" t="str">
        <x:v>SMA footprint and polarity mark match selected Jingdao SS34.</x:v>
      </x:c>
    </x:row>
    <x:row r="16" ht="53" customHeight="1">
      <x:c r="A16" s="7" t="str">
        <x:v>LED_Red</x:v>
      </x:c>
      <x:c r="B16" s="7" t="str">
        <x:v>D33, D34, D35</x:v>
      </x:c>
      <x:c r="C16" s="7" t="inlineStr">
        <x:is>
          <x:t xml:space="preserve">RheoBoard:LED_SZYY0603R_A1_K2_Nominal</x:t>
        </x:is>
      </x:c>
      <x:c r="D16" s="7" t="str">
        <x:v>C434419</x:v>
      </x:c>
      <x:c r="E16" s="8" t="n">
        <x:v>3</x:v>
      </x:c>
      <x:c r="F16" s="9" t="n">
        <x:v>0.098</x:v>
      </x:c>
      <x:c r="G16" s="9" t="n">
        <x:f>IF(ISNUMBER(F16),E16*F16,"")</x:f>
        <x:v>0.29400000000000004</x:v>
      </x:c>
      <x:c r="H16" s="7" t="str">
        <x:v>https://www.lcsc.com/product-detail/C434419.html</x:v>
      </x:c>
      <x:c r="I16" s="7" t="inlineStr">
        <x:is>
          <x:t xml:space="preserve">https://datasheet.lcsc.com/datasheet/pdf/7948f9a4498910c84f6e992ff3fa9e63.pdf</x:t>
        </x:is>
      </x:c>
      <x:c r="J16" s="7" t="str">
        <x:v>SZYY0603R</x:v>
      </x:c>
      <x:c r="K16" s="7" t="str">
        <x:v>Yongyu Photoelectric</x:v>
      </x:c>
      <x:c r="L16" s="7" t="str">
        <x:v>SMT</x:v>
      </x:c>
      <x:c r="M16" s="7" t="inlineStr">
        <x:is>
          <x:t xml:space="preserve">Manufacturer numbering: 1=A(+), 2=K(-). Cathode bar marks pad 2. See LED assembly guide.</x:t>
        </x:is>
      </x:c>
    </x:row>
    <x:row r="17" ht="83" customHeight="1">
      <x:c r="A17" s="7" t="str">
        <x:v>SMBJ13A</x:v>
      </x:c>
      <x:c r="B17" s="7" t="str">
        <x:v>D36</x:v>
      </x:c>
      <x:c r="C17" s="7" t="str">
        <x:v>Diode_SMD:D_SMB</x:v>
      </x:c>
      <x:c r="D17" s="7" t="str">
        <x:v>C151252</x:v>
      </x:c>
      <x:c r="E17" s="8" t="n">
        <x:v>1</x:v>
      </x:c>
      <x:c r="F17" s="10"/>
      <x:c r="G17" s="9" t="str">
        <x:f>IF(ISNUMBER(F17),E17*F17,"")</x:f>
      </x:c>
      <x:c r="H17" s="7" t="str">
        <x:v>https://www.lcsc.com/product-detail/C151252.html</x:v>
      </x:c>
      <x:c r="I17" s="7" t="str">
        <x:v>https://m.littelfuse.com/~/media/electronics/datasheets/tvs_diodes/littelfuse_tvs_diode_smbj_datasheet.pdf.pdf</x:v>
      </x:c>
      <x:c r="J17" s="7" t="str">
        <x:v>SMBJ13A</x:v>
      </x:c>
      <x:c r="K17" s="7" t="str">
        <x:v>Littelfuse</x:v>
      </x:c>
      <x:c r="L17" s="7" t="str">
        <x:v>SMT</x:v>
      </x:c>
      <x:c r="M17" s="7" t="str">
        <x:v>Catalog attribute table incorrectly lists 14V/23.2V while selected manufacturer MPN is SMBJ13A. Require exact MPN SMBJ13A, 13V standoff, 21.5V clamp at 28A per manufacturer table; inspect supplier approval. Not a substitute for eFuse.</x:v>
      </x:c>
    </x:row>
    <x:row r="18" ht="53" customHeight="1">
      <x:c r="A18" s="7" t="str">
        <x:v>2A time-delay JFC1032-1200TS</x:v>
      </x:c>
      <x:c r="B18" s="7" t="str">
        <x:v>F1</x:v>
      </x:c>
      <x:c r="C18" s="7" t="str">
        <x:v>RheoBoard:Fuse_JDT_JFC1032TS_10.25x3.2mm</x:v>
      </x:c>
      <x:c r="D18" s="7" t="str">
        <x:v>C53035082</x:v>
      </x:c>
      <x:c r="E18" s="8" t="n">
        <x:v>1</x:v>
      </x:c>
      <x:c r="F18" s="9" t="n">
        <x:v>1.45</x:v>
      </x:c>
      <x:c r="G18" s="9" t="n">
        <x:f>IF(ISNUMBER(F18),E18*F18,"")</x:f>
        <x:v>1.45</x:v>
      </x:c>
      <x:c r="H18" s="7" t="str">
        <x:v>https://www.lcsc.com/product-detail/C53035082.html</x:v>
      </x:c>
      <x:c r="I18" s="7" t="str">
        <x:v>https://www.jdtfuse.com/upload/PDF/JFC1032TS.pdf</x:v>
      </x:c>
      <x:c r="J18" s="7" t="str">
        <x:v>JFC1032-1200TS</x:v>
      </x:c>
      <x:c r="K18" s="7" t="str">
        <x:v>JDTfuse</x:v>
      </x:c>
      <x:c r="L18" s="7" t="str">
        <x:v>SMT</x:v>
      </x:c>
      <x:c r="M18" s="7" t="str">
        <x:v>Corrected centered origin and JDT land pattern. Check the new placement preview.</x:v>
      </x:c>
    </x:row>
    <x:row r="19" ht="53" customHeight="1">
      <x:c r="A19" s="7" t="str">
        <x:v>JST SH 4-pin 1.00mm</x:v>
      </x:c>
      <x:c r="B19" s="7" t="str">
        <x:v>J1, J9, J12, J17</x:v>
      </x:c>
      <x:c r="C19" s="7" t="str">
        <x:v>Connector_JST:JST_SH_SM04B-SRSS-TB_1x04-1MP_P1.00mm_Horizontal</x:v>
      </x:c>
      <x:c r="D19" s="7" t="str">
        <x:v>C160404</x:v>
      </x:c>
      <x:c r="E19" s="8" t="n">
        <x:v>4</x:v>
      </x:c>
      <x:c r="F19" s="9" t="n">
        <x:v>0.6</x:v>
      </x:c>
      <x:c r="G19" s="9" t="n">
        <x:f>IF(ISNUMBER(F19),E19*F19,"")</x:f>
        <x:v>2.4</x:v>
      </x:c>
      <x:c r="H19" s="7" t="str">
        <x:v>https://www.lcsc.com/product-detail/C160404.html</x:v>
      </x:c>
      <x:c r="I19" s="7" t="str">
        <x:v>https://www.jst-mfg.com/product/pdf/eng/eSH.pdf</x:v>
      </x:c>
      <x:c r="J19" s="7" t="str">
        <x:v>SM04B-SRSS-TB(LF)(SN)</x:v>
      </x:c>
      <x:c r="K19" s="7" t="str">
        <x:v>JST</x:v>
      </x:c>
      <x:c r="L19" s="7" t="str">
        <x:v>SMT</x:v>
      </x:c>
      <x:c r="M19" s="7" t="str">
        <x:v>Standard Qwiic pin order: 1 GND, 2 3.3 V, 3 SDA, 4 SCL. J9 is the dedicated MASTER port; J1/J12/J17 power local SENSOR modules. J9 power/signal nets are separated by U13.</x:v>
      </x:c>
    </x:row>
    <x:row r="20" ht="53" customHeight="1">
      <x:c r="A20" s="11" t="str">
        <x:v>PJ-082BH</x:v>
      </x:c>
      <x:c r="B20" s="11" t="str">
        <x:v>J2</x:v>
      </x:c>
      <x:c r="C20" s="11" t="str">
        <x:v>RheoBoard:PJ-082BH</x:v>
      </x:c>
      <x:c r="D20" s="11" t="str">
        <x:v>C3094233</x:v>
      </x:c>
      <x:c r="E20" s="12" t="n">
        <x:v>1</x:v>
      </x:c>
      <x:c r="F20" s="13" t="n">
        <x:v>1.58</x:v>
      </x:c>
      <x:c r="G20" s="13" t="n">
        <x:f>IF(ISNUMBER(F20),E20*F20,"")</x:f>
        <x:v>1.58</x:v>
      </x:c>
      <x:c r="H20" s="11" t="str">
        <x:v>https://www.lcsc.com/product-detail/C3094233.html</x:v>
      </x:c>
      <x:c r="I20" s="11" t="str">
        <x:v>https://www.sameskydevices.com/product/resource/pj-082bh.pdf</x:v>
      </x:c>
      <x:c r="J20" s="11" t="str">
        <x:v>PJ-082BH</x:v>
      </x:c>
      <x:c r="K20" s="11" t="str">
        <x:v>CUI</x:v>
      </x:c>
      <x:c r="L20" s="11" t="str">
        <x:v>Manual THT</x:v>
      </x:c>
      <x:c r="M20" s="11" t="str">
        <x:v>Manual through-hole assembly. Center-positive 12 V, 5.5 x 2.5 mm mating plug.</x:v>
      </x:c>
    </x:row>
    <x:row r="21" ht="53" customHeight="1">
      <x:c r="A21" s="11" t="str">
        <x:v>JST EH 4-pin 2.50mm</x:v>
      </x:c>
      <x:c r="B21" s="11" t="str">
        <x:v>J3</x:v>
      </x:c>
      <x:c r="C21" s="11" t="str">
        <x:v>RheoBoard:JST_EH_B4B-EH-A_1x04_P2.50mm_Vertical_DFM</x:v>
      </x:c>
      <x:c r="D21" s="11" t="str">
        <x:v>C160258</x:v>
      </x:c>
      <x:c r="E21" s="12" t="n">
        <x:v>1</x:v>
      </x:c>
      <x:c r="F21" s="13" t="n">
        <x:v>0.139</x:v>
      </x:c>
      <x:c r="G21" s="13" t="n">
        <x:f>IF(ISNUMBER(F21),E21*F21,"")</x:f>
        <x:v>0.139</x:v>
      </x:c>
      <x:c r="H21" s="11" t="str">
        <x:v>https://www.lcsc.com/product-detail/C160258.html</x:v>
      </x:c>
      <x:c r="I21" s="11" t="str">
        <x:v>https://www.jst-mfg.com/product/pdf/eng/eEH.pdf</x:v>
      </x:c>
      <x:c r="J21" s="11" t="str">
        <x:v>B4B-EH-A(LF)(SN)</x:v>
      </x:c>
      <x:c r="K21" s="11" t="str">
        <x:v>JST</x:v>
      </x:c>
      <x:c r="L21" s="11" t="str">
        <x:v>Manual THT</x:v>
      </x:c>
      <x:c r="M21" s="11" t="str">
        <x:v>Manual through-hole assembly. Pin 2 supplies local 3.3 V to peripherals.</x:v>
      </x:c>
    </x:row>
    <x:row r="22" ht="53" customHeight="1">
      <x:c r="A22" s="7" t="str">
        <x:v>4.7uH FXL0530-4R7-M</x:v>
      </x:c>
      <x:c r="B22" s="7" t="str">
        <x:v>L1, L2, L5</x:v>
      </x:c>
      <x:c r="C22" s="7" t="str">
        <x:v>Inductor_SMD:L_Changjiang_FXL0530</x:v>
      </x:c>
      <x:c r="D22" s="7" t="str">
        <x:v>C177246</x:v>
      </x:c>
      <x:c r="E22" s="8" t="n">
        <x:v>3</x:v>
      </x:c>
      <x:c r="F22" s="9" t="n">
        <x:v>0.904</x:v>
      </x:c>
      <x:c r="G22" s="9" t="n">
        <x:f>IF(ISNUMBER(F22),E22*F22,"")</x:f>
        <x:v>2.712</x:v>
      </x:c>
      <x:c r="H22" s="7" t="str">
        <x:v>https://www.lcsc.com/product-detail/C177246.html</x:v>
      </x:c>
      <x:c r="I22" s="7"/>
      <x:c r="J22" s="7" t="str">
        <x:v>FXL0530-4R7-M</x:v>
      </x:c>
      <x:c r="K22" s="7" t="str">
        <x:v>cjiang</x:v>
      </x:c>
      <x:c r="L22" s="7" t="str">
        <x:v>SMT</x:v>
      </x:c>
      <x:c r="M22" s="7" t="str">
        <x:v>FXL0530 pads match the selected inductor; old Bourns purchasing link removed.</x:v>
      </x:c>
    </x:row>
    <x:row r="23" ht="53" customHeight="1">
      <x:c r="A23" s="7" t="str">
        <x:v>AO3400A</x:v>
      </x:c>
      <x:c r="B23" s="7" t="str">
        <x:v>Q4, Q8, Q10</x:v>
      </x:c>
      <x:c r="C23" s="7" t="str">
        <x:v>RheoBoard:AO3400A</x:v>
      </x:c>
      <x:c r="D23" s="7" t="str">
        <x:v>C20917</x:v>
      </x:c>
      <x:c r="E23" s="8" t="n">
        <x:v>3</x:v>
      </x:c>
      <x:c r="F23" s="9" t="n">
        <x:v>0.322</x:v>
      </x:c>
      <x:c r="G23" s="9" t="n">
        <x:f>IF(ISNUMBER(F23),E23*F23,"")</x:f>
        <x:v>0.966</x:v>
      </x:c>
      <x:c r="H23" s="7" t="str">
        <x:v>https://www.lcsc.com/product-detail/C20917.html</x:v>
      </x:c>
      <x:c r="I23" s="7" t="str">
        <x:v>https://www.aosmd.com/sites/default/files/res/data_sheets/AO3400A.pdf</x:v>
      </x:c>
      <x:c r="J23" s="7" t="str">
        <x:v>AO3400A</x:v>
      </x:c>
      <x:c r="K23" s="7" t="str">
        <x:v>AOS</x:v>
      </x:c>
      <x:c r="L23" s="7" t="str">
        <x:v>SMT</x:v>
      </x:c>
      <x:c r="M23" s="7"/>
    </x:row>
    <x:row r="24" ht="53" customHeight="1">
      <x:c r="A24" s="7" t="str">
        <x:v>100K/0603/1%</x:v>
      </x:c>
      <x:c r="B24" s="7" t="str">
        <x:v>R1, R4, R7</x:v>
      </x:c>
      <x:c r="C24" s="7" t="str">
        <x:v>Resistor_SMD:R_0603_1608Metric_Pad0.98x0.95mm_HandSolder</x:v>
      </x:c>
      <x:c r="D24" s="7" t="str">
        <x:v>C25803</x:v>
      </x:c>
      <x:c r="E24" s="8" t="n">
        <x:v>3</x:v>
      </x:c>
      <x:c r="F24" s="9" t="n">
        <x:v>0.014</x:v>
      </x:c>
      <x:c r="G24" s="9" t="n">
        <x:f>IF(ISNUMBER(F24),E24*F24,"")</x:f>
        <x:v>0.042</x:v>
      </x:c>
      <x:c r="H24" s="7" t="str">
        <x:v>https://www.lcsc.com/product-detail/C25803.html</x:v>
      </x:c>
      <x:c r="I24" s="7"/>
      <x:c r="J24" s="7" t="str">
        <x:v>0603WAF1003T5E</x:v>
      </x:c>
      <x:c r="K24" s="7" t="str">
        <x:v>UNI-ROYAL</x:v>
      </x:c>
      <x:c r="L24" s="7" t="str">
        <x:v>SMT</x:v>
      </x:c>
      <x:c r="M24" s="7"/>
    </x:row>
    <x:row r="25" ht="53" customHeight="1">
      <x:c r="A25" s="7" t="str">
        <x:v>4K7/0603/1%</x:v>
      </x:c>
      <x:c r="B25" s="7" t="str">
        <x:v>R15, R20, R82, R83</x:v>
      </x:c>
      <x:c r="C25" s="7" t="str">
        <x:v>Resistor_SMD:R_0603_1608Metric_Pad0.98x0.95mm_HandSolder</x:v>
      </x:c>
      <x:c r="D25" s="7" t="str">
        <x:v>C23162</x:v>
      </x:c>
      <x:c r="E25" s="8" t="n">
        <x:v>4</x:v>
      </x:c>
      <x:c r="F25" s="9" t="n">
        <x:v>0.001</x:v>
      </x:c>
      <x:c r="G25" s="9" t="n">
        <x:f>IF(ISNUMBER(F25),E25*F25,"")</x:f>
        <x:v>0.004</x:v>
      </x:c>
      <x:c r="H25" s="7" t="str">
        <x:v>https://www.lcsc.com/product-detail/C23162.html</x:v>
      </x:c>
      <x:c r="I25" s="7"/>
      <x:c r="J25" s="7" t="str">
        <x:v>0603WAF4701T5E</x:v>
      </x:c>
      <x:c r="K25" s="7" t="str">
        <x:v>UNI-ROYAL</x:v>
      </x:c>
      <x:c r="L25" s="7" t="str">
        <x:v>SMT</x:v>
      </x:c>
      <x:c r="M25" s="7" t="str">
        <x:v>R82/R83 added as 4.7 kohm host SDA/SCL pullups; local R15/R20 retained.</x:v>
      </x:c>
    </x:row>
    <x:row r="26" ht="126" customHeight="1">
      <x:c r="A26" s="7" t="str">
        <x:v>10K/0603/1%</x:v>
      </x:c>
      <x:c r="B26" s="7" t="str">
        <x:v>R16, R17, R18, R19, R22, R23, R29, R30, R31, R32, R33, R34, R37, R38, R51, R56, R84, R85</x:v>
      </x:c>
      <x:c r="C26" s="7" t="str">
        <x:v>Resistor_SMD:R_0603_1608Metric_Pad0.98x0.95mm_HandSolder</x:v>
      </x:c>
      <x:c r="D26" s="7" t="str">
        <x:v>C25804</x:v>
      </x:c>
      <x:c r="E26" s="8" t="n">
        <x:v>18</x:v>
      </x:c>
      <x:c r="F26" s="9" t="n">
        <x:v>0.014</x:v>
      </x:c>
      <x:c r="G26" s="9" t="n">
        <x:f>IF(ISNUMBER(F26),E26*F26,"")</x:f>
        <x:v>0.252</x:v>
      </x:c>
      <x:c r="H26" s="7" t="str">
        <x:v>https://www.lcsc.com/product-detail/C25804.html</x:v>
      </x:c>
      <x:c r="I26" s="7"/>
      <x:c r="J26" s="7" t="str">
        <x:v>0603WAF1002T5E</x:v>
      </x:c>
      <x:c r="K26" s="7" t="str">
        <x:v>UNI-ROYAL</x:v>
      </x:c>
      <x:c r="L26" s="7" t="str">
        <x:v>SMT</x:v>
      </x:c>
      <x:c r="M26" s="7" t="str">
        <x:v>R16–R19 pull the button signals to HOST_3V3 from J9. R84 discharges HOST_3V3. R85 pulls Q11 gate to GND.</x:v>
      </x:c>
    </x:row>
    <x:row r="27" ht="53" customHeight="1">
      <x:c r="A27" s="7" t="str">
        <x:v>1k/0603/1%</x:v>
      </x:c>
      <x:c r="B27" s="7" t="str">
        <x:v>R24, R25, R26, R39, R40, R54, R59, R75</x:v>
      </x:c>
      <x:c r="C27" s="7" t="str">
        <x:v>Resistor_SMD:R_0603_1608Metric_Pad0.98x0.95mm_HandSolder</x:v>
      </x:c>
      <x:c r="D27" s="7" t="str">
        <x:v>C21190</x:v>
      </x:c>
      <x:c r="E27" s="8" t="n">
        <x:v>8</x:v>
      </x:c>
      <x:c r="F27" s="9" t="n">
        <x:v>0.001</x:v>
      </x:c>
      <x:c r="G27" s="9" t="n">
        <x:f>IF(ISNUMBER(F27),E27*F27,"")</x:f>
        <x:v>0.008</x:v>
      </x:c>
      <x:c r="H27" s="7" t="str">
        <x:v>https://www.lcsc.com/product-detail/C21190.html</x:v>
      </x:c>
      <x:c r="I27" s="7"/>
      <x:c r="J27" s="7" t="str">
        <x:v>0603WAF1001T5E</x:v>
      </x:c>
      <x:c r="K27" s="7" t="str">
        <x:v>UNI-ROYAL</x:v>
      </x:c>
      <x:c r="L27" s="7" t="str">
        <x:v>SMT</x:v>
      </x:c>
      <x:c r="M27" s="7"/>
    </x:row>
    <x:row r="28" ht="53" customHeight="1">
      <x:c r="A28" s="7" t="str">
        <x:v>100R/0603/1%</x:v>
      </x:c>
      <x:c r="B28" s="7" t="str">
        <x:v>R35, R36, R42, R55</x:v>
      </x:c>
      <x:c r="C28" s="7" t="str">
        <x:v>Resistor_SMD:R_0603_1608Metric_Pad0.98x0.95mm_HandSolder</x:v>
      </x:c>
      <x:c r="D28" s="7" t="str">
        <x:v>C22775</x:v>
      </x:c>
      <x:c r="E28" s="8" t="n">
        <x:v>4</x:v>
      </x:c>
      <x:c r="F28" s="9" t="n">
        <x:v>0.014</x:v>
      </x:c>
      <x:c r="G28" s="9" t="n">
        <x:f>IF(ISNUMBER(F28),E28*F28,"")</x:f>
        <x:v>0.056</x:v>
      </x:c>
      <x:c r="H28" s="7" t="str">
        <x:v>https://www.lcsc.com/product-detail/C22775.html</x:v>
      </x:c>
      <x:c r="I28" s="7"/>
      <x:c r="J28" s="7" t="str">
        <x:v>0603WAF1000T5E</x:v>
      </x:c>
      <x:c r="K28" s="7" t="str">
        <x:v>UNI-ROYAL</x:v>
      </x:c>
      <x:c r="L28" s="7" t="str">
        <x:v>SMT</x:v>
      </x:c>
      <x:c r="M28" s="7"/>
    </x:row>
    <x:row r="29" ht="53" customHeight="1">
      <x:c r="A29" s="7" t="str">
        <x:v>330/0603/1%</x:v>
      </x:c>
      <x:c r="B29" s="7" t="str">
        <x:v>R44, R77</x:v>
      </x:c>
      <x:c r="C29" s="7" t="str">
        <x:v>Resistor_SMD:R_0603_1608Metric_Pad0.98x0.95mm_HandSolder</x:v>
      </x:c>
      <x:c r="D29" s="7" t="str">
        <x:v>C23138</x:v>
      </x:c>
      <x:c r="E29" s="8" t="n">
        <x:v>2</x:v>
      </x:c>
      <x:c r="F29" s="9" t="n">
        <x:v>0.014</x:v>
      </x:c>
      <x:c r="G29" s="9" t="n">
        <x:f>IF(ISNUMBER(F29),E29*F29,"")</x:f>
        <x:v>0.028</x:v>
      </x:c>
      <x:c r="H29" s="7" t="str">
        <x:v>https://www.lcsc.com/product-detail/C23138.html</x:v>
      </x:c>
      <x:c r="I29" s="7"/>
      <x:c r="J29" s="7" t="str">
        <x:v>0603WAF3300T5E</x:v>
      </x:c>
      <x:c r="K29" s="7" t="str">
        <x:v>UNI-ROYAL</x:v>
      </x:c>
      <x:c r="L29" s="7" t="str">
        <x:v>SMT</x:v>
      </x:c>
      <x:c r="M29" s="7"/>
    </x:row>
    <x:row r="30" ht="53" customHeight="1">
      <x:c r="A30" s="7" t="str">
        <x:v>196k ±1%</x:v>
      </x:c>
      <x:c r="B30" s="7" t="str">
        <x:v>R45</x:v>
      </x:c>
      <x:c r="C30" s="7" t="str">
        <x:v>Resistor_SMD:R_0603_1608Metric_Pad0.98x0.95mm_HandSolder</x:v>
      </x:c>
      <x:c r="D30" s="7" t="str">
        <x:v>C4203218</x:v>
      </x:c>
      <x:c r="E30" s="8" t="n">
        <x:v>1</x:v>
      </x:c>
      <x:c r="F30" s="9" t="n">
        <x:v>0.02</x:v>
      </x:c>
      <x:c r="G30" s="9" t="n">
        <x:f>IF(ISNUMBER(F30),E30*F30,"")</x:f>
        <x:v>0.02</x:v>
      </x:c>
      <x:c r="H30" s="7" t="str">
        <x:v>https://www.lcsc.com/product-detail/C4203218.html</x:v>
      </x:c>
      <x:c r="I30" s="7"/>
      <x:c r="J30" s="7" t="str">
        <x:v>CRCW0603196KFKEA</x:v>
      </x:c>
      <x:c r="K30" s="7" t="str">
        <x:v>VISHAY</x:v>
      </x:c>
      <x:c r="L30" s="7" t="str">
        <x:v>SMT</x:v>
      </x:c>
      <x:c r="M30" s="7" t="str">
        <x:v>Schematic corrected to the assembled 196k value; pump rail approximately 4.52 V.</x:v>
      </x:c>
    </x:row>
    <x:row r="31" ht="53" customHeight="1">
      <x:c r="A31" s="7" t="str">
        <x:v>30K/0603/1%</x:v>
      </x:c>
      <x:c r="B31" s="7" t="str">
        <x:v>R46, R74, R76</x:v>
      </x:c>
      <x:c r="C31" s="7" t="str">
        <x:v>Resistor_SMD:R_0603_1608Metric_Pad0.98x0.95mm_HandSolder</x:v>
      </x:c>
      <x:c r="D31" s="7" t="str">
        <x:v>C22984</x:v>
      </x:c>
      <x:c r="E31" s="8" t="n">
        <x:v>3</x:v>
      </x:c>
      <x:c r="F31" s="9" t="n">
        <x:v>0.014</x:v>
      </x:c>
      <x:c r="G31" s="9" t="n">
        <x:f>IF(ISNUMBER(F31),E31*F31,"")</x:f>
        <x:v>0.042</x:v>
      </x:c>
      <x:c r="H31" s="7" t="str">
        <x:v>https://www.lcsc.com/product-detail/C22984.html</x:v>
      </x:c>
      <x:c r="I31" s="7"/>
      <x:c r="J31" s="7" t="str">
        <x:v>0603WAF3002T5E</x:v>
      </x:c>
      <x:c r="K31" s="7" t="str">
        <x:v>UNI-ROYAL</x:v>
      </x:c>
      <x:c r="L31" s="7" t="str">
        <x:v>SMT</x:v>
      </x:c>
      <x:c r="M31" s="7"/>
    </x:row>
    <x:row r="32" ht="53" customHeight="1">
      <x:c r="A32" s="7" t="str">
        <x:v>270K/0603/1%</x:v>
      </x:c>
      <x:c r="B32" s="7" t="str">
        <x:v>R60</x:v>
      </x:c>
      <x:c r="C32" s="7" t="str">
        <x:v>Resistor_SMD:R_0603_1608Metric_Pad0.98x0.95mm_HandSolder</x:v>
      </x:c>
      <x:c r="D32" s="7" t="str">
        <x:v>C22965</x:v>
      </x:c>
      <x:c r="E32" s="8" t="n">
        <x:v>1</x:v>
      </x:c>
      <x:c r="F32" s="9" t="n">
        <x:v>0.001</x:v>
      </x:c>
      <x:c r="G32" s="9" t="n">
        <x:f>IF(ISNUMBER(F32),E32*F32,"")</x:f>
        <x:v>0.001</x:v>
      </x:c>
      <x:c r="H32" s="7" t="str">
        <x:v>https://www.lcsc.com/product-detail/C22965.html</x:v>
      </x:c>
      <x:c r="I32" s="7"/>
      <x:c r="J32" s="7" t="str">
        <x:v>0603WAF2703T5E</x:v>
      </x:c>
      <x:c r="K32" s="7" t="str">
        <x:v>UNI-ROYAL</x:v>
      </x:c>
      <x:c r="L32" s="7" t="str">
        <x:v>SMT</x:v>
      </x:c>
      <x:c r="M32" s="7"/>
    </x:row>
    <x:row r="33" ht="53" customHeight="1">
      <x:c r="A33" s="7" t="str">
        <x:v>135k ±0.1%</x:v>
      </x:c>
      <x:c r="B33" s="7" t="str">
        <x:v>R61</x:v>
      </x:c>
      <x:c r="C33" s="7" t="str">
        <x:v>Resistor_SMD:R_0603_1608Metric_Pad0.98x0.95mm_HandSolder</x:v>
      </x:c>
      <x:c r="D33" s="7" t="str">
        <x:v>C861113</x:v>
      </x:c>
      <x:c r="E33" s="8" t="n">
        <x:v>1</x:v>
      </x:c>
      <x:c r="F33" s="9" t="n">
        <x:v>0.06</x:v>
      </x:c>
      <x:c r="G33" s="9" t="n">
        <x:f>IF(ISNUMBER(F33),E33*F33,"")</x:f>
        <x:v>0.06</x:v>
      </x:c>
      <x:c r="H33" s="7" t="str">
        <x:v>https://www.lcsc.com/product-detail/C861113.html</x:v>
      </x:c>
      <x:c r="I33" s="7"/>
      <x:c r="J33" s="7" t="str">
        <x:v>RT0603BRD07135KL</x:v>
      </x:c>
      <x:c r="K33" s="7" t="str">
        <x:v>YAGEO</x:v>
      </x:c>
      <x:c r="L33" s="7" t="str">
        <x:v>SMT</x:v>
      </x:c>
      <x:c r="M33" s="7"/>
    </x:row>
    <x:row r="34" ht="53" customHeight="1">
      <x:c r="A34" s="7" t="str">
        <x:v>549R ±1%</x:v>
      </x:c>
      <x:c r="B34" s="7" t="str">
        <x:v>R73</x:v>
      </x:c>
      <x:c r="C34" s="7" t="str">
        <x:v>Resistor_SMD:R_0603_1608Metric_Pad0.98x0.95mm_HandSolder</x:v>
      </x:c>
      <x:c r="D34" s="7" t="str">
        <x:v>C23079</x:v>
      </x:c>
      <x:c r="E34" s="8" t="n">
        <x:v>1</x:v>
      </x:c>
      <x:c r="F34" s="9" t="n">
        <x:v>0.014</x:v>
      </x:c>
      <x:c r="G34" s="9" t="n">
        <x:f>IF(ISNUMBER(F34),E34*F34,"")</x:f>
        <x:v>0.014</x:v>
      </x:c>
      <x:c r="H34" s="7" t="str">
        <x:v>https://www.lcsc.com/product-detail/C23079.html</x:v>
      </x:c>
      <x:c r="I34" s="7"/>
      <x:c r="J34" s="7" t="str">
        <x:v>0603WAF5490T5E</x:v>
      </x:c>
      <x:c r="K34" s="7" t="str">
        <x:v>UNI-ROYAL</x:v>
      </x:c>
      <x:c r="L34" s="7" t="str">
        <x:v>SMT</x:v>
      </x:c>
      <x:c r="M34" s="7" t="str">
        <x:v>Schematic corrected to the assembled 549 ohm value.</x:v>
      </x:c>
    </x:row>
    <x:row r="35" ht="53" customHeight="1">
      <x:c r="A35" s="7" t="str">
        <x:v>680k ±1%</x:v>
      </x:c>
      <x:c r="B35" s="7" t="str">
        <x:v>R78</x:v>
      </x:c>
      <x:c r="C35" s="7" t="str">
        <x:v>Resistor_SMD:R_0603_1608Metric</x:v>
      </x:c>
      <x:c r="D35" s="7" t="str">
        <x:v>C25822</x:v>
      </x:c>
      <x:c r="E35" s="8" t="n">
        <x:v>1</x:v>
      </x:c>
      <x:c r="F35" s="10"/>
      <x:c r="G35" s="9" t="str">
        <x:f>IF(ISNUMBER(F35),E35*F35,"")</x:f>
      </x:c>
      <x:c r="H35" s="7" t="str">
        <x:v>https://www.lcsc.com/product-detail/C25822.html</x:v>
      </x:c>
      <x:c r="I35" s="7"/>
      <x:c r="J35" s="7" t="str">
        <x:v>0603WAF6803T5E</x:v>
      </x:c>
      <x:c r="K35" s="7" t="str">
        <x:v>UNI-ROYAL</x:v>
      </x:c>
      <x:c r="L35" s="7" t="str">
        <x:v>SMT</x:v>
      </x:c>
      <x:c r="M35" s="7"/>
    </x:row>
    <x:row r="36" ht="53" customHeight="1">
      <x:c r="A36" s="7" t="str">
        <x:v>100K/0603/1%</x:v>
      </x:c>
      <x:c r="B36" s="7" t="str">
        <x:v>R79</x:v>
      </x:c>
      <x:c r="C36" s="7" t="str">
        <x:v>Resistor_SMD:R_0603_1608Metric</x:v>
      </x:c>
      <x:c r="D36" s="7" t="str">
        <x:v>C25803</x:v>
      </x:c>
      <x:c r="E36" s="8" t="n">
        <x:v>1</x:v>
      </x:c>
      <x:c r="F36" s="9" t="n">
        <x:v>0.014</x:v>
      </x:c>
      <x:c r="G36" s="9" t="n">
        <x:f>IF(ISNUMBER(F36),E36*F36,"")</x:f>
        <x:v>0.014</x:v>
      </x:c>
      <x:c r="H36" s="7" t="str">
        <x:v>https://www.lcsc.com/product-detail/C25803.html</x:v>
      </x:c>
      <x:c r="I36" s="7"/>
      <x:c r="J36" s="7" t="str">
        <x:v>0603WAF1003T5E</x:v>
      </x:c>
      <x:c r="K36" s="7" t="str">
        <x:v>UNI-ROYAL</x:v>
      </x:c>
      <x:c r="L36" s="7" t="str">
        <x:v>SMT</x:v>
      </x:c>
      <x:c r="M36" s="7"/>
    </x:row>
    <x:row r="37" ht="53" customHeight="1">
      <x:c r="A37" s="7" t="str">
        <x:v>390k ±1%</x:v>
      </x:c>
      <x:c r="B37" s="7" t="str">
        <x:v>R80</x:v>
      </x:c>
      <x:c r="C37" s="7" t="str">
        <x:v>Resistor_SMD:R_0603_1608Metric</x:v>
      </x:c>
      <x:c r="D37" s="7" t="str">
        <x:v>C2759410</x:v>
      </x:c>
      <x:c r="E37" s="8" t="n">
        <x:v>1</x:v>
      </x:c>
      <x:c r="F37" s="10"/>
      <x:c r="G37" s="9" t="str">
        <x:f>IF(ISNUMBER(F37),E37*F37,"")</x:f>
      </x:c>
      <x:c r="H37" s="7" t="str">
        <x:v>https://www.lcsc.com/product-detail/C2759410.html</x:v>
      </x:c>
      <x:c r="I37" s="7"/>
      <x:c r="J37" s="7" t="str">
        <x:v>HP03W5F3903T5E</x:v>
      </x:c>
      <x:c r="K37" s="7" t="str">
        <x:v>UNI-ROYAL</x:v>
      </x:c>
      <x:c r="L37" s="7" t="str">
        <x:v>SMT</x:v>
      </x:c>
      <x:c r="M37" s="7"/>
    </x:row>
    <x:row r="38" ht="53" customHeight="1">
      <x:c r="A38" s="7" t="str">
        <x:v>1.65k ±1%</x:v>
      </x:c>
      <x:c r="B38" s="7" t="str">
        <x:v>R81</x:v>
      </x:c>
      <x:c r="C38" s="7" t="str">
        <x:v>Resistor_SMD:R_0603_1608Metric</x:v>
      </x:c>
      <x:c r="D38" s="7" t="str">
        <x:v>C22845</x:v>
      </x:c>
      <x:c r="E38" s="8" t="n">
        <x:v>1</x:v>
      </x:c>
      <x:c r="F38" s="10"/>
      <x:c r="G38" s="9" t="str">
        <x:f>IF(ISNUMBER(F38),E38*F38,"")</x:f>
      </x:c>
      <x:c r="H38" s="7" t="str">
        <x:v>https://www.lcsc.com/product-detail/C22845.html</x:v>
      </x:c>
      <x:c r="I38" s="7"/>
      <x:c r="J38" s="7" t="str">
        <x:v>0603WAF1651T5E</x:v>
      </x:c>
      <x:c r="K38" s="7" t="str">
        <x:v>UNI-ROYAL</x:v>
      </x:c>
      <x:c r="L38" s="7" t="str">
        <x:v>SMT</x:v>
      </x:c>
      <x:c r="M38" s="7"/>
    </x:row>
    <x:row r="39" ht="53" customHeight="1">
      <x:c r="A39" s="7" t="str">
        <x:v>TL3301NF160QG/P010515</x:v>
      </x:c>
      <x:c r="B39" s="7" t="str">
        <x:v>SW1, SW2, SW3, SW4</x:v>
      </x:c>
      <x:c r="C39" s="7" t="str">
        <x:v>RheoBoard:Tactile_Switch_4pad</x:v>
      </x:c>
      <x:c r="D39" s="7" t="str">
        <x:v>C273527</x:v>
      </x:c>
      <x:c r="E39" s="8" t="n">
        <x:v>4</x:v>
      </x:c>
      <x:c r="F39" s="9" t="n">
        <x:v>0.183</x:v>
      </x:c>
      <x:c r="G39" s="9" t="n">
        <x:f>IF(ISNUMBER(F39),E39*F39,"")</x:f>
        <x:v>0.732</x:v>
      </x:c>
      <x:c r="H39" s="7" t="str">
        <x:v>https://www.lcsc.com/product-detail/C273527.html</x:v>
      </x:c>
      <x:c r="I39" s="7"/>
      <x:c r="J39" s="7" t="str">
        <x:v>TL3301NF160QG/P010515</x:v>
      </x:c>
      <x:c r="K39" s="7" t="str">
        <x:v>E-Switch</x:v>
      </x:c>
      <x:c r="L39" s="7" t="str">
        <x:v>SMT</x:v>
      </x:c>
      <x:c r="M39" s="7"/>
    </x:row>
    <x:row r="40" ht="53" customHeight="1">
      <x:c r="A40" s="7" t="str">
        <x:v>TPS563203DRLR</x:v>
      </x:c>
      <x:c r="B40" s="7" t="str">
        <x:v>U1, U2, U3</x:v>
      </x:c>
      <x:c r="C40" s="7" t="str">
        <x:v>RheoBoard:TPS563203DRLR</x:v>
      </x:c>
      <x:c r="D40" s="7" t="str">
        <x:v>C22445512</x:v>
      </x:c>
      <x:c r="E40" s="8" t="n">
        <x:v>3</x:v>
      </x:c>
      <x:c r="F40" s="9" t="n">
        <x:v>0.225</x:v>
      </x:c>
      <x:c r="G40" s="9" t="n">
        <x:f>IF(ISNUMBER(F40),E40*F40,"")</x:f>
        <x:v>0.675</x:v>
      </x:c>
      <x:c r="H40" s="7" t="str">
        <x:v>https://www.lcsc.com/product-detail/C22445512.html</x:v>
      </x:c>
      <x:c r="I40" s="7" t="str">
        <x:v>https://www.ti.com/lit/gpn/tps563203</x:v>
      </x:c>
      <x:c r="J40" s="7" t="str">
        <x:v>TPS563203DRLR</x:v>
      </x:c>
      <x:c r="K40" s="7" t="str">
        <x:v>TI</x:v>
      </x:c>
      <x:c r="L40" s="7" t="str">
        <x:v>SMT</x:v>
      </x:c>
      <x:c r="M40" s="7"/>
    </x:row>
    <x:row r="41" ht="68" customHeight="1">
      <x:c r="A41" s="7" t="str">
        <x:v>MPRLS0025PA00001A</x:v>
      </x:c>
      <x:c r="B41" s="7" t="str">
        <x:v>U5</x:v>
      </x:c>
      <x:c r="C41" s="7" t="str">
        <x:v>RheoBoard:MPRLS0025PA00001A</x:v>
      </x:c>
      <x:c r="D41" s="7" t="str">
        <x:v>C3257154</x:v>
      </x:c>
      <x:c r="E41" s="8" t="n">
        <x:v>1</x:v>
      </x:c>
      <x:c r="F41" s="9" t="n">
        <x:v>15.93</x:v>
      </x:c>
      <x:c r="G41" s="9" t="n">
        <x:f>IF(ISNUMBER(F41),E41*F41,"")</x:f>
        <x:v>15.93</x:v>
      </x:c>
      <x:c r="H41" s="7" t="str">
        <x:v>https://www.lcsc.com/product-detail/C3257154.html</x:v>
      </x:c>
      <x:c r="I41" s="7" t="str">
        <x:v>https://automation.honeywell.com/content/dam/honeywell-edam/sps/ast/en-us/campaigns/pressure-sensors/documents/sps-siot-mpr-series-datasheet-32332628-ciid-172626.pdf</x:v>
      </x:c>
      <x:c r="J41" s="7" t="str">
        <x:v>MPRLS0025PA00001A</x:v>
      </x:c>
      <x:c r="K41" s="7" t="str">
        <x:v>Honeywell</x:v>
      </x:c>
      <x:c r="L41" s="7" t="str">
        <x:v>SMT</x:v>
      </x:c>
      <x:c r="M41" s="7"/>
    </x:row>
    <x:row r="42" ht="53" customHeight="1">
      <x:c r="A42" s="7" t="str">
        <x:v>PCA9685PW,118</x:v>
      </x:c>
      <x:c r="B42" s="7" t="str">
        <x:v>U7</x:v>
      </x:c>
      <x:c r="C42" s="7" t="str">
        <x:v>RheoBoard:PCA9685</x:v>
      </x:c>
      <x:c r="D42" s="7" t="str">
        <x:v>C2678753</x:v>
      </x:c>
      <x:c r="E42" s="8" t="n">
        <x:v>1</x:v>
      </x:c>
      <x:c r="F42" s="9" t="n">
        <x:v>3.445</x:v>
      </x:c>
      <x:c r="G42" s="9" t="n">
        <x:f>IF(ISNUMBER(F42),E42*F42,"")</x:f>
        <x:v>3.445</x:v>
      </x:c>
      <x:c r="H42" s="7" t="str">
        <x:v>https://www.lcsc.com/product-detail/C2678753.html</x:v>
      </x:c>
      <x:c r="I42" s="7" t="str">
        <x:v>https://www.nxp.com/docs/en/data-sheet/PCA9685.pdf</x:v>
      </x:c>
      <x:c r="J42" s="7" t="str">
        <x:v>PCA9685PW,118</x:v>
      </x:c>
      <x:c r="K42" s="7" t="str">
        <x:v>NXP</x:v>
      </x:c>
      <x:c r="L42" s="7" t="str">
        <x:v>SMT</x:v>
      </x:c>
      <x:c r="M42" s="7" t="str">
        <x:v>Pumps LED0/1, indicators LED2–4, valves LED5/6 using FULL ON/OFF. TCA9534 removed.</x:v>
      </x:c>
    </x:row>
    <x:row r="43" ht="53" customHeight="1">
      <x:c r="A43" s="11" t="str">
        <x:v>ZR370-02PM / 4.5V / 2.5 LPM / ~500 mA</x:v>
      </x:c>
      <x:c r="B43" s="11" t="str">
        <x:v>U8, U11</x:v>
      </x:c>
      <x:c r="C43" s="11" t="str">
        <x:v>RheoBoard:PUMP</x:v>
      </x:c>
      <x:c r="D43" s="11"/>
      <x:c r="E43" s="12" t="n">
        <x:v>2</x:v>
      </x:c>
      <x:c r="F43" s="13" t="n">
        <x:v>7.16</x:v>
      </x:c>
      <x:c r="G43" s="13" t="n">
        <x:f>IF(ISNUMBER(F43),E43*F43,"")</x:f>
        <x:v>14.32</x:v>
      </x:c>
      <x:c r="H43" s="11" t="str">
        <x:v>https://www.adafruit.com/product/4699</x:v>
      </x:c>
      <x:c r="I43" s="11"/>
      <x:c r="J43" s="11" t="str">
        <x:v>ZR370-02PM</x:v>
      </x:c>
      <x:c r="K43" s="11" t="str">
        <x:v>Supplier-specified</x:v>
      </x:c>
      <x:c r="L43" s="11" t="str">
        <x:v>Manual pump fitting</x:v>
      </x:c>
      <x:c r="M43" s="11" t="str">
        <x:v>Existing pump retained for intermittent use. Manual fitting; provide mechanical support.</x:v>
      </x:c>
    </x:row>
    <x:row r="44" ht="53" customHeight="1">
      <x:c r="A44" s="11" t="str">
        <x:v>JST XH 2-pin 2.50mm</x:v>
      </x:c>
      <x:c r="B44" s="11" t="str">
        <x:v>U9, U10</x:v>
      </x:c>
      <x:c r="C44" s="11" t="str">
        <x:v>RheoBoard:VALVE_v105</x:v>
      </x:c>
      <x:c r="D44" s="11" t="str">
        <x:v>C158012</x:v>
      </x:c>
      <x:c r="E44" s="12" t="n">
        <x:v>2</x:v>
      </x:c>
      <x:c r="F44" s="10"/>
      <x:c r="G44" s="13" t="str">
        <x:f>IF(ISNUMBER(F44),E44*F44,"")</x:f>
      </x:c>
      <x:c r="H44" s="11" t="str">
        <x:v>https://www.lcsc.com/product-detail/C158012.html</x:v>
      </x:c>
      <x:c r="I44" s="11" t="str">
        <x:v>https://www.jst-mfg.com/product/pdf/eng/eXH.pdf</x:v>
      </x:c>
      <x:c r="J44" s="11" t="str">
        <x:v>B2B-XH-A(LF)(SN)</x:v>
      </x:c>
      <x:c r="K44" s="11" t="str">
        <x:v>JST</x:v>
      </x:c>
      <x:c r="L44" s="11" t="str">
        <x:v>Manual THT</x:v>
      </x:c>
      <x:c r="M44" s="11" t="str">
        <x:v>Fitted JST XH header only. External valve is listed on Manual accessories. Manual through-hole assembly.</x:v>
      </x:c>
    </x:row>
    <x:row r="45" ht="53" customHeight="1">
      <x:c r="A45" s="7" t="str">
        <x:v>TPS259472ARPWR</x:v>
      </x:c>
      <x:c r="B45" s="7" t="str">
        <x:v>U12</x:v>
      </x:c>
      <x:c r="C45" s="7" t="str">
        <x:v>RheoBoard:TI_RPW0010A_VQFN-HR_2x2mm</x:v>
      </x:c>
      <x:c r="D45" s="7" t="str">
        <x:v>C3662789</x:v>
      </x:c>
      <x:c r="E45" s="8" t="n">
        <x:v>1</x:v>
      </x:c>
      <x:c r="F45" s="10"/>
      <x:c r="G45" s="9" t="str">
        <x:f>IF(ISNUMBER(F45),E45*F45,"")</x:f>
      </x:c>
      <x:c r="H45" s="7" t="str">
        <x:v>https://www.lcsc.com/product-detail/C3662789.html</x:v>
      </x:c>
      <x:c r="I45" s="7" t="str">
        <x:v>https://www.ti.com/lit/ds/symlink/tps25947.pdf</x:v>
      </x:c>
      <x:c r="J45" s="7" t="str">
        <x:v>TPS259472ARPWR</x:v>
      </x:c>
      <x:c r="K45" s="7" t="str">
        <x:v>Texas Instruments</x:v>
      </x:c>
      <x:c r="L45" s="7" t="str">
        <x:v>SMT</x:v>
      </x:c>
      <x:c r="M45" s="7" t="str">
        <x:v>New auto-retry input eFuse; TI RPW0010A HotRod footprint, approximately 2 A limit / 13.8 V clamp.</x:v>
      </x:c>
    </x:row>
    <x:row r="46" ht="112" customHeight="1">
      <x:c r="A46" s="7" t="str">
        <x:v>TCA9517ADGKR</x:v>
      </x:c>
      <x:c r="B46" s="7" t="str">
        <x:v>U13</x:v>
      </x:c>
      <x:c r="C46" s="7" t="str">
        <x:v>RheoBoard:TI_DGK0008A_VSSOP_3x3mm_P0.65mm</x:v>
      </x:c>
      <x:c r="D46" s="7" t="str">
        <x:v>C201698</x:v>
      </x:c>
      <x:c r="E46" s="8" t="n">
        <x:v>1</x:v>
      </x:c>
      <x:c r="F46" s="10"/>
      <x:c r="G46" s="9" t="str">
        <x:f>IF(ISNUMBER(F46),E46*F46,"")</x:f>
      </x:c>
      <x:c r="H46" s="7" t="str">
        <x:v>https://www.lcsc.com/product-detail/C201698.html</x:v>
      </x:c>
      <x:c r="I46" s="7" t="str">
        <x:v>https://www.ti.com/lit/ds/symlink/tca9517a.pdf</x:v>
      </x:c>
      <x:c r="J46" s="7" t="str">
        <x:v>TCA9517ADGKR</x:v>
      </x:c>
      <x:c r="K46" s="7" t="str">
        <x:v>Texas Instruments</x:v>
      </x:c>
      <x:c r="L46" s="7" t="str">
        <x:v>SMT</x:v>
      </x:c>
      <x:c r="M46" s="7" t="str">
        <x:v>Qwiic master interface: local bus on A, host on B. EN and VCCB use HOST_3V3; separate supplies, common GND. TI DGK land pattern: 1.4 x 0.45 mm pads, 0.65 mm pitch, 4.4 mm row-center span.</x:v>
      </x:c>
    </x:row>
    <x:row r="47" ht="83" customHeight="1">
      <x:c r="A47" s="7" t="str">
        <x:v>BZT52C10-7-F</x:v>
      </x:c>
      <x:c r="B47" s="7" t="str">
        <x:v>D37</x:v>
      </x:c>
      <x:c r="C47" s="7" t="str">
        <x:v>Diode_SMD:D_SOD-123</x:v>
      </x:c>
      <x:c r="D47" s="7" t="str">
        <x:v>C155227</x:v>
      </x:c>
      <x:c r="E47" s="8" t="n">
        <x:v>1</x:v>
      </x:c>
      <x:c r="F47" s="10"/>
      <x:c r="G47" s="9" t="str">
        <x:f>IF(ISNUMBER(F47),E47*F47,"")</x:f>
      </x:c>
      <x:c r="H47" s="7" t="str">
        <x:v>https://www.lcsc.com/product-detail/C155227.html</x:v>
      </x:c>
      <x:c r="I47" s="7" t="str">
        <x:v>https://www.diodes.com/datasheet/download/BZT52Cxx.pdf</x:v>
      </x:c>
      <x:c r="J47" s="7" t="str">
        <x:v>BZT52C10-7-F</x:v>
      </x:c>
      <x:c r="K47" s="7" t="str">
        <x:v>Diodes Incorporated</x:v>
      </x:c>
      <x:c r="L47" s="7" t="str">
        <x:v>SMT</x:v>
      </x:c>
      <x:c r="M47" s="7" t="str">
        <x:v>Q11 gate-source clamp. Cathode to VIN_RAW/source; anode to gate.</x:v>
      </x:c>
    </x:row>
    <x:row r="48" ht="53" customHeight="1">
      <x:c r="A48" s="11" t="str">
        <x:v>Button GPIO 1x05 2.54mm</x:v>
      </x:c>
      <x:c r="B48" s="11" t="str">
        <x:v>J19</x:v>
      </x:c>
      <x:c r="C48" s="11" t="str">
        <x:v>Connector_PinHeader_2.54mm:PinHeader_1x05_P2.54mm_Vertical</x:v>
      </x:c>
      <x:c r="D48" s="11"/>
      <x:c r="E48" s="12" t="n">
        <x:v>1</x:v>
      </x:c>
      <x:c r="F48" s="20"/>
      <x:c r="G48" s="13" t="str">
        <x:f>IF(ISNUMBER(F48),E48*F48,"")</x:f>
      </x:c>
      <x:c r="H48" s="11" t="str">
        <x:v>https://www.adafruit.com/product/392</x:v>
      </x:c>
      <x:c r="I48" s="11"/>
      <x:c r="J48" s="11" t="str">
        <x:v>392, cut to 5 positions</x:v>
      </x:c>
      <x:c r="K48" s="11" t="str">
        <x:v>Adafruit or equivalent</x:v>
      </x:c>
      <x:c r="L48" s="11" t="str">
        <x:v>Manual</x:v>
      </x:c>
      <x:c r="M48" s="11" t="str">
        <x:v>Straight 2.54mm male header. Pin1 GND,2 SW1,3 SW2,4 SW3,5 SW4. Buttons need separate GPIO cable and host power through J9.</x:v>
      </x:c>
    </x:row>
    <x:row r="49" ht="53" customHeight="1">
      <x:c r="A49" s="7" t="str">
        <x:v>AO3400A</x:v>
      </x:c>
      <x:c r="B49" s="7" t="str">
        <x:v>Q3</x:v>
      </x:c>
      <x:c r="C49" s="7" t="str">
        <x:v>RheoBoard:AO3400A_Pin1Offset</x:v>
      </x:c>
      <x:c r="D49" s="7" t="str">
        <x:v>C20917</x:v>
      </x:c>
      <x:c r="E49" s="8" t="n">
        <x:v>1</x:v>
      </x:c>
      <x:c r="F49" s="9" t="n">
        <x:v>0.322</x:v>
      </x:c>
      <x:c r="G49" s="9" t="n">
        <x:f>IF(ISNUMBER(F49),E49*F49,"")</x:f>
        <x:v>0.322</x:v>
      </x:c>
      <x:c r="H49" s="7" t="str">
        <x:v>https://www.lcsc.com/product-detail/C20917.html</x:v>
      </x:c>
      <x:c r="I49" s="7" t="str">
        <x:v>https://www.aosmd.com/sites/default/files/res/data_sheets/AO3400A.pdf</x:v>
      </x:c>
      <x:c r="J49" s="7" t="str">
        <x:v>AO3400A</x:v>
      </x:c>
      <x:c r="K49" s="7" t="str">
        <x:v>AOS</x:v>
      </x:c>
      <x:c r="L49" s="7" t="str">
        <x:v>SMT</x:v>
      </x:c>
      <x:c r="M49" s="7"/>
    </x:row>
    <x:row r="50" ht="30" customHeight="1">
      <x:c r="A50" s="14" t="str">
        <x:v>Total fitted parts / incomplete priced subtotal</x:v>
      </x:c>
      <x:c r="B50" s="14"/>
      <x:c r="C50" s="14"/>
      <x:c r="D50" s="14"/>
      <x:c r="E50" s="14" t="n">
        <x:f>SUM(E2:E49)</x:f>
        <x:v>142</x:v>
      </x:c>
      <x:c r="F50" s="14" t="str">
        <x:v>Incomplete estimate</x:v>
      </x:c>
      <x:c r="G50" s="15" t="n">
        <x:f>SUM(G2:G49)</x:f>
        <x:v>52.888000000000005</x:v>
      </x:c>
      <x:c r="H50"/>
      <x:c r="I50"/>
      <x:c r="J50"/>
      <x:c r="K50"/>
      <x:c r="L50"/>
      <x:c r="M50"/>
    </x:row>
    <x:row r="51" ht="3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 ht="36" customHeight="1">
      <x:c r="A52" s="16" t="str">
        <x:v>Prices are retained from the original workbook only where the selected part is unchanged. New parts have blank prices. This subtotal is incomplete and is not a JLCPCB quotation; obtain a fresh quote for v1.05.</x:v>
      </x:c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</x:row>
    <x:row r="53" ht="34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</x:sheetData>
  <x:mergeCells>
    <x:mergeCell ref="A52:M52"/>
  </x:mergeCells>
  <x:pageMargins left="0.7" right="0.7" top="0.75" bottom="0.75" header="0.3" footer="0.3"/>
  <x:tableParts count="1">
    <x:tablePart xmlns:r="http://schemas.openxmlformats.org/officeDocument/2006/relationships" r:id="R440eec40d6a7433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24" hidden="0" customWidth="1"/>
    <x:col min="4" max="4" width="30" hidden="0" customWidth="1"/>
    <x:col min="5" max="5" width="45" hidden="0" customWidth="1"/>
    <x:col min="6" max="6" width="50" hidden="0" customWidth="1"/>
    <x:col min="7" max="7" width="55" hidden="0" customWidth="1"/>
  </x:cols>
  <x:sheetData>
    <x:row r="1" ht="32" customHeight="1">
      <x:c r="A1" s="18" t="str">
        <x:v>Item</x:v>
      </x:c>
      <x:c r="B1" s="18" t="str">
        <x:v>Quantity basis</x:v>
      </x:c>
      <x:c r="C1" s="18" t="str">
        <x:v>Manufacturer / supplier</x:v>
      </x:c>
      <x:c r="D1" s="18" t="str">
        <x:v>Part number</x:v>
      </x:c>
      <x:c r="E1" s="18" t="str">
        <x:v>Purpose</x:v>
      </x:c>
      <x:c r="F1" s="18" t="str">
        <x:v>Source</x:v>
      </x:c>
      <x:c r="G1" s="18" t="str">
        <x:v>Assembly note</x:v>
      </x:c>
    </x:row>
    <x:row r="2" ht="85" customHeight="1">
      <x:c r="A2" s="3" t="str">
        <x:v>External 6 V valves</x:v>
      </x:c>
      <x:c r="B2" s="3" t="str">
        <x:v>2 per board</x:v>
      </x:c>
      <x:c r="C2" s="3" t="str">
        <x:v>Adafruit / supplied manufacturer</x:v>
      </x:c>
      <x:c r="D2" s="3" t="str">
        <x:v>FA0520E, product 4663</x:v>
      </x:c>
      <x:c r="E2" s="3" t="str">
        <x:v>Connect to valve headers U9 and U10</x:v>
      </x:c>
      <x:c r="F2" s="3" t="str">
        <x:v>https://www.adafruit.com/product/4663</x:v>
      </x:c>
      <x:c r="G2" s="3" t="str">
        <x:v>Existing specified valve retained. JST XH mating cable; verify supplied cable polarity. Header parts appear on main BOM separately.</x:v>
      </x:c>
    </x:row>
    <x:row r="3" ht="154" customHeight="1">
      <x:c r="A3" s="3" t="str">
        <x:v>Eight-channel I2C multiplexer</x:v>
      </x:c>
      <x:c r="B3" s="3" t="str">
        <x:v>1 per system, up to 8 boards</x:v>
      </x:c>
      <x:c r="C3" s="3" t="str">
        <x:v>Adafruit / Texas Instruments</x:v>
      </x:c>
      <x:c r="D3" s="3" t="str">
        <x:v>Product 2717 / TCA9548A</x:v>
      </x:c>
      <x:c r="E3" s="3" t="str">
        <x:v>One independent RheoBoard per mux channel</x:v>
      </x:c>
      <x:c r="F3" s="3" t="str">
        <x:v>https://www.adafruit.com/product/2717</x:v>
      </x:c>
      <x:c r="G3" s="3" t="str">
        <x:v>Address 0x71; exactly one channel enabled. Master 3.3 V/GND/channel SDA/SCL to J9; local rails stay separate. Product 2717 needs a Qwiic adapter harness. No upstream B-side repeater/rise-time accelerator. Total host pullup current &lt;=3 mA; selected-branch effective pullups &gt;=2.2 kohm including parallel module resistors/tolerance. Verify actual wiring and rise times.</x:v>
      </x:c>
    </x:row>
    <x:row r="4" ht="154" customHeight="1">
      <x:c r="A4" s="3" t="str">
        <x:v>12 V power supply</x:v>
      </x:c>
      <x:c r="B4" s="3" t="str">
        <x:v>1 supply per board or budgeted distribution</x:v>
      </x:c>
      <x:c r="C4" s="3" t="str">
        <x:v>To be selected</x:v>
      </x:c>
      <x:c r="D4" s="3" t="str">
        <x:v>Regulated 12 V, center-positive, 5.5 × 2.5 mm plug</x:v>
      </x:c>
      <x:c r="E4" s="3" t="str">
        <x:v>Board input power</x:v>
      </x:c>
      <x:c r="F4" s="3" t="str">
        <x:v>https://www.sameskydevices.com/product/resource/pj-082bh.pdf</x:v>
      </x:c>
      <x:c r="G4" s="3" t="str">
        <x:v>12 V, 2 A starting rating for specified loads; validate actual startup and simultaneous-load current. Board input fuse 2 A; do not increase load budget just because supply is larger.</x:v>
      </x:c>
    </x:row>
    <x:row r="5" ht="154" customHeight="1">
      <x:c r="A5" s="3" t="str">
        <x:v>Qwiic master</x:v>
      </x:c>
      <x:c r="B5" s="3" t="str">
        <x:v>1 per system</x:v>
      </x:c>
      <x:c r="C5" s="3" t="str">
        <x:v>SparkFun</x:v>
      </x:c>
      <x:c r="D5" s="3" t="str">
        <x:v>WRL-15663 (ESP32 Thing Plus, Micro-B)</x:v>
      </x:c>
      <x:c r="E5" s="3" t="str">
        <x:v>USB/battery-powered I2C master; GPIO23 SDA, GPIO22 SCL</x:v>
      </x:c>
      <x:c r="F5" s="3" t="str">
        <x:v>https://cdn.sparkfun.com/assets/6/d/c/6/c/ESP32_Thing_Plus_Schematic.pdf</x:v>
      </x:c>
      <x:c r="G5" s="3" t="str">
        <x:v>Connect four-wire Qwiic to J9 MASTER. Host3V3 powers U13 host interface and R16–R19 button pullups. J19 needs a separate four-GPIO + GND cable. PCB-specific firmware required.</x:v>
      </x:c>
    </x:row>
    <x:row r="6" ht="154" customHeight="1">
      <x:c r="A6" s="3" t="str">
        <x:v>Standard Qwiic cable</x:v>
      </x:c>
      <x:c r="B6" s="3" t="str">
        <x:v>1 per connection</x:v>
      </x:c>
      <x:c r="C6" s="3" t="str">
        <x:v>Qwiic-compatible cable supplier</x:v>
      </x:c>
      <x:c r="D6" s="3" t="str">
        <x:v>Four-wire JST SH 1.0 mm mating cable; length to suit</x:v>
      </x:c>
      <x:c r="E6" s="3" t="str">
        <x:v>Master to J9, or local sensors to J1/J12/J17</x:v>
      </x:c>
      <x:c r="F6" s="3" t="str">
        <x:v>https://www.sparkfun.com/qwiic</x:v>
      </x:c>
      <x:c r="G6" s="3" t="str">
        <x:v>Pin 1 GND (black), 2 3.3 V (red), 3 SDA (blue), 4 SCL (yellow). Observe connector pin numbering; do not infer pin order from viewing direction.</x:v>
      </x:c>
    </x:row>
    <x:row r="7" ht="154" customHeight="1">
      <x:c r="A7" s="3" t="str">
        <x:v>Button GPIO cable</x:v>
      </x:c>
      <x:c r="B7" s="3" t="str">
        <x:v>5 leads per board using its buttons</x:v>
      </x:c>
      <x:c r="C7" s="3" t="str">
        <x:v>Adafruit or equivalent</x:v>
      </x:c>
      <x:c r="D7" s="3" t="str">
        <x:v>1950: use 5 of 20 female/female 150mm jumpers</x:v>
      </x:c>
      <x:c r="E7" s="3" t="str">
        <x:v>J19 buttons to ESP32 GPIO32,33,25,26 and GND</x:v>
      </x:c>
      <x:c r="F7" s="3" t="str">
        <x:v>https://www.adafruit.com/product/1950</x:v>
      </x:c>
      <x:c r="G7" s="3" t="str">
        <x:v>J19 pin1 GND;2 GPIO32;3 GPIO33;4 GPIO25(A1);5 GPIO26(A0). Requires male headers on ESP32. Both this cable and Qwiic/J9 are needed; no power wire on J19.</x:v>
      </x:c>
    </x:row>
    <x:row r="8" ht="154" customHeight="1">
      <x:c r="A8"/>
      <x:c r="B8"/>
      <x:c r="C8"/>
      <x:c r="D8"/>
      <x:c r="E8"/>
      <x:c r="F8"/>
      <x:c r="G8"/>
    </x:row>
  </x:sheetData>
  <x:pageMargins left="0.7" right="0.7" top="0.75" bottom="0.75" header="0.3" footer="0.3"/>
  <x:tableParts count="1">
    <x:tablePart xmlns:r="http://schemas.openxmlformats.org/officeDocument/2006/relationships" r:id="R9a7d9bc7a0b947a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4" hidden="0" customWidth="1"/>
    <x:col min="3" max="3" width="70" hidden="0" customWidth="1"/>
    <x:col min="4" max="4" width="20" hidden="0" customWidth="1"/>
  </x:cols>
  <x:sheetData>
    <x:row r="1">
      <x:c r="A1" s="18" t="str">
        <x:v>Comment</x:v>
      </x:c>
      <x:c r="B1" s="18" t="str">
        <x:v>Designator</x:v>
      </x:c>
      <x:c r="C1" s="18" t="str">
        <x:v>Footprint</x:v>
      </x:c>
      <x:c r="D1" s="18" t="str">
        <x:v>LCSC Part #</x:v>
      </x:c>
    </x:row>
    <x:row r="2" ht="48" customHeight="1">
      <x:c r="A2" s="3" t="str">
        <x:v>10uF 25V X5R ±10%</x:v>
      </x:c>
      <x:c r="B2" s="3" t="str">
        <x:v>C1, C2, C8, C9, C15, C16</x:v>
      </x:c>
      <x:c r="C2" s="3" t="str">
        <x:v>Capacitor_SMD:C_0805_2012Metric_Pad1.18x1.45mm_HandSolder</x:v>
      </x:c>
      <x:c r="D2" s="3" t="str">
        <x:v>C5448891</x:v>
      </x:c>
    </x:row>
    <x:row r="3" ht="48" customHeight="1">
      <x:c r="A3" s="3" t="str">
        <x:v>100nF 50V X7R ±10%</x:v>
      </x:c>
      <x:c r="B3" s="3" t="str">
        <x:v>C3, C4, C5, C23, C24, C25, C26, C30, C31, C33, C42, C44, C46, C56, C59, C63, C68, C69</x:v>
      </x:c>
      <x:c r="C3" s="3" t="str">
        <x:v>Capacitor_SMD:C_0603_1608Metric_Pad1.08x0.95mm_HandSolder</x:v>
      </x:c>
      <x:c r="D3" s="3" t="str">
        <x:v>C14663</x:v>
      </x:c>
    </x:row>
    <x:row r="4" ht="48" customHeight="1">
      <x:c r="A4" s="3" t="str">
        <x:v>1nF 50V X7R ±5%</x:v>
      </x:c>
      <x:c r="B4" s="3" t="str">
        <x:v>C27</x:v>
      </x:c>
      <x:c r="C4" s="3" t="str">
        <x:v>Capacitor_SMD:C_0603_1608Metric_Pad1.08x0.95mm_HandSolder</x:v>
      </x:c>
      <x:c r="D4" s="3" t="str">
        <x:v>C5360811</x:v>
      </x:c>
    </x:row>
    <x:row r="5" ht="48" customHeight="1">
      <x:c r="A5" s="3" t="str">
        <x:v>10uF 25V X5R ±10%</x:v>
      </x:c>
      <x:c r="B5" s="3" t="str">
        <x:v>C28, C29</x:v>
      </x:c>
      <x:c r="C5" s="3" t="str">
        <x:v>Capacitor_SMD:C_0603_1608Metric_Pad1.08x0.95mm_HandSolder</x:v>
      </x:c>
      <x:c r="D5" s="3" t="str">
        <x:v>C7393892</x:v>
      </x:c>
    </x:row>
    <x:row r="6" ht="48" customHeight="1">
      <x:c r="A6" s="3" t="str">
        <x:v>22uF 50V ±20%</x:v>
      </x:c>
      <x:c r="B6" s="3" t="str">
        <x:v>C32, C34, C43, C45</x:v>
      </x:c>
      <x:c r="C6" s="3" t="str">
        <x:v>Capacitor_SMD:CP_Elec_6.3x5.8</x:v>
      </x:c>
      <x:c r="D6" s="3" t="str">
        <x:v>C128458</x:v>
      </x:c>
    </x:row>
    <x:row r="7" ht="48" customHeight="1">
      <x:c r="A7" s="3" t="str">
        <x:v>22uF 25V X5R ±20%</x:v>
      </x:c>
      <x:c r="B7" s="3" t="str">
        <x:v>C52, C53, C54, C57, C60, C61</x:v>
      </x:c>
      <x:c r="C7" s="3" t="str">
        <x:v>Capacitor_SMD:C_0805_2012Metric_Pad1.18x1.45mm_HandSolder</x:v>
      </x:c>
      <x:c r="D7" s="3" t="str">
        <x:v>C20416420</x:v>
      </x:c>
    </x:row>
    <x:row r="8" ht="48" customHeight="1">
      <x:c r="A8" s="3" t="str">
        <x:v>18pF 50V C0G ±2%</x:v>
      </x:c>
      <x:c r="B8" s="3" t="str">
        <x:v>C55, C58, C62</x:v>
      </x:c>
      <x:c r="C8" s="3" t="str">
        <x:v>Capacitor_SMD:C_0603_1608Metric_Pad1.08x0.95mm_HandSolder</x:v>
      </x:c>
      <x:c r="D8" s="3" t="str">
        <x:v>C2169079</x:v>
      </x:c>
    </x:row>
    <x:row r="9" ht="48" customHeight="1">
      <x:c r="A9" s="3" t="str">
        <x:v>3.3nF 50V X7R ±10%</x:v>
      </x:c>
      <x:c r="B9" s="3" t="str">
        <x:v>C64</x:v>
      </x:c>
      <x:c r="C9" s="3" t="str">
        <x:v>Capacitor_SMD:C_0603_1608Metric</x:v>
      </x:c>
      <x:c r="D9" s="3" t="str">
        <x:v>C107088</x:v>
      </x:c>
    </x:row>
    <x:row r="10" ht="48" customHeight="1">
      <x:c r="A10" s="3" t="str">
        <x:v>1uF 50V X7R ±10%</x:v>
      </x:c>
      <x:c r="B10" s="3" t="str">
        <x:v>C65</x:v>
      </x:c>
      <x:c r="C10" s="3" t="str">
        <x:v>Capacitor_SMD:C_0805_2012Metric</x:v>
      </x:c>
      <x:c r="D10" s="3" t="str">
        <x:v>C91185</x:v>
      </x:c>
    </x:row>
    <x:row r="11" ht="48" customHeight="1">
      <x:c r="A11" s="3" t="str">
        <x:v>100nF 50V X7R ±10%</x:v>
      </x:c>
      <x:c r="B11" s="3" t="str">
        <x:v>C66</x:v>
      </x:c>
      <x:c r="C11" s="3" t="str">
        <x:v>Capacitor_SMD:C_0603_1608Metric</x:v>
      </x:c>
      <x:c r="D11" s="3" t="str">
        <x:v>C14663</x:v>
      </x:c>
    </x:row>
    <x:row r="12" ht="48" customHeight="1">
      <x:c r="A12" s="3" t="str">
        <x:v>4.7uF 50V X7R ±10%</x:v>
      </x:c>
      <x:c r="B12" s="3" t="str">
        <x:v>C67</x:v>
      </x:c>
      <x:c r="C12" s="3" t="str">
        <x:v>Capacitor_SMD:C_1206_3216Metric</x:v>
      </x:c>
      <x:c r="D12" s="3" t="str">
        <x:v>C132170</x:v>
      </x:c>
    </x:row>
    <x:row r="13" ht="48" customHeight="1">
      <x:c r="A13" s="3" t="str">
        <x:v>DMP6023LE-13</x:v>
      </x:c>
      <x:c r="B13" s="3" t="str">
        <x:v>Q11</x:v>
      </x:c>
      <x:c r="C13" s="3" t="str">
        <x:v>RheoBoard:SOT-223-3_TabPin2_DFM</x:v>
      </x:c>
      <x:c r="D13" s="3" t="str">
        <x:v>C154901</x:v>
      </x:c>
    </x:row>
    <x:row r="14" ht="48" customHeight="1">
      <x:c r="A14" s="3" t="str">
        <x:v>LED_Red</x:v>
      </x:c>
      <x:c r="B14" s="3" t="str">
        <x:v>D6, D7, D8, D13, D14, D15, D17, D19</x:v>
      </x:c>
      <x:c r="C14" s="3" t="inlineStr">
        <x:is>
          <x:t xml:space="preserve">RheoBoard:LED_SZYY0603R_A1_K2_HandSolder</x:t>
        </x:is>
      </x:c>
      <x:c r="D14" s="3" t="str">
        <x:v>C434419</x:v>
      </x:c>
    </x:row>
    <x:row r="15" ht="48" customHeight="1">
      <x:c r="A15" s="3" t="str">
        <x:v>SS34</x:v>
      </x:c>
      <x:c r="B15" s="3" t="str">
        <x:v>D11, D12, D16, D18</x:v>
      </x:c>
      <x:c r="C15" s="3" t="str">
        <x:v>Diode_SMD:D_SMA</x:v>
      </x:c>
      <x:c r="D15" s="3" t="str">
        <x:v>C115205</x:v>
      </x:c>
    </x:row>
    <x:row r="16" ht="48" customHeight="1">
      <x:c r="A16" s="3" t="str">
        <x:v>LED_Red</x:v>
      </x:c>
      <x:c r="B16" s="3" t="str">
        <x:v>D33, D34, D35</x:v>
      </x:c>
      <x:c r="C16" s="3" t="inlineStr">
        <x:is>
          <x:t xml:space="preserve">RheoBoard:LED_SZYY0603R_A1_K2_Nominal</x:t>
        </x:is>
      </x:c>
      <x:c r="D16" s="3" t="str">
        <x:v>C434419</x:v>
      </x:c>
    </x:row>
    <x:row r="17" ht="48" customHeight="1">
      <x:c r="A17" s="3" t="str">
        <x:v>SMBJ13A</x:v>
      </x:c>
      <x:c r="B17" s="3" t="str">
        <x:v>D36</x:v>
      </x:c>
      <x:c r="C17" s="3" t="str">
        <x:v>Diode_SMD:D_SMB</x:v>
      </x:c>
      <x:c r="D17" s="3" t="str">
        <x:v>C151252</x:v>
      </x:c>
    </x:row>
    <x:row r="18" ht="48" customHeight="1">
      <x:c r="A18" s="3" t="str">
        <x:v>2A time-delay JFC1032-1200TS</x:v>
      </x:c>
      <x:c r="B18" s="3" t="str">
        <x:v>F1</x:v>
      </x:c>
      <x:c r="C18" s="3" t="str">
        <x:v>RheoBoard:Fuse_JDT_JFC1032TS_10.25x3.2mm</x:v>
      </x:c>
      <x:c r="D18" s="3" t="str">
        <x:v>C53035082</x:v>
      </x:c>
    </x:row>
    <x:row r="19" ht="48" customHeight="1">
      <x:c r="A19" s="3" t="str">
        <x:v>JST SH 4-pin 1.00mm</x:v>
      </x:c>
      <x:c r="B19" s="3" t="str">
        <x:v>J1, J9, J12, J17</x:v>
      </x:c>
      <x:c r="C19" s="3" t="str">
        <x:v>Connector_JST:JST_SH_SM04B-SRSS-TB_1x04-1MP_P1.00mm_Horizontal</x:v>
      </x:c>
      <x:c r="D19" s="3" t="str">
        <x:v>C160404</x:v>
      </x:c>
    </x:row>
    <x:row r="20" ht="48" customHeight="1">
      <x:c r="A20" s="3" t="str">
        <x:v>4.7uH FXL0530-4R7-M</x:v>
      </x:c>
      <x:c r="B20" s="3" t="str">
        <x:v>L1, L2, L5</x:v>
      </x:c>
      <x:c r="C20" s="3" t="str">
        <x:v>Inductor_SMD:L_Changjiang_FXL0530</x:v>
      </x:c>
      <x:c r="D20" s="3" t="str">
        <x:v>C177246</x:v>
      </x:c>
    </x:row>
    <x:row r="21" ht="48" customHeight="1">
      <x:c r="A21" s="3" t="str">
        <x:v>AO3400A</x:v>
      </x:c>
      <x:c r="B21" s="3" t="str">
        <x:v>Q4, Q8, Q10</x:v>
      </x:c>
      <x:c r="C21" s="3" t="str">
        <x:v>RheoBoard:AO3400A</x:v>
      </x:c>
      <x:c r="D21" s="3" t="str">
        <x:v>C20917</x:v>
      </x:c>
    </x:row>
    <x:row r="22" ht="48" customHeight="1">
      <x:c r="A22" s="3" t="str">
        <x:v>100K/0603/1%</x:v>
      </x:c>
      <x:c r="B22" s="3" t="str">
        <x:v>R1, R4, R7</x:v>
      </x:c>
      <x:c r="C22" s="3" t="str">
        <x:v>Resistor_SMD:R_0603_1608Metric_Pad0.98x0.95mm_HandSolder</x:v>
      </x:c>
      <x:c r="D22" s="3" t="str">
        <x:v>C25803</x:v>
      </x:c>
    </x:row>
    <x:row r="23" ht="48" customHeight="1">
      <x:c r="A23" s="3" t="str">
        <x:v>4K7/0603/1%</x:v>
      </x:c>
      <x:c r="B23" s="3" t="str">
        <x:v>R15, R20, R82, R83</x:v>
      </x:c>
      <x:c r="C23" s="3" t="str">
        <x:v>Resistor_SMD:R_0603_1608Metric_Pad0.98x0.95mm_HandSolder</x:v>
      </x:c>
      <x:c r="D23" s="3" t="str">
        <x:v>C23162</x:v>
      </x:c>
    </x:row>
    <x:row r="24" ht="48" customHeight="1">
      <x:c r="A24" s="3" t="str">
        <x:v>10K/0603/1%</x:v>
      </x:c>
      <x:c r="B24" s="3" t="str">
        <x:v>R16, R17, R18, R19, R22, R23, R29, R30, R31, R32, R33, R34, R37, R38, R51, R56, R84, R85</x:v>
      </x:c>
      <x:c r="C24" s="3" t="str">
        <x:v>Resistor_SMD:R_0603_1608Metric_Pad0.98x0.95mm_HandSolder</x:v>
      </x:c>
      <x:c r="D24" s="3" t="str">
        <x:v>C25804</x:v>
      </x:c>
    </x:row>
    <x:row r="25" ht="48" customHeight="1">
      <x:c r="A25" s="3" t="str">
        <x:v>1k/0603/1%</x:v>
      </x:c>
      <x:c r="B25" s="3" t="str">
        <x:v>R24, R25, R26, R39, R40, R54, R59, R75</x:v>
      </x:c>
      <x:c r="C25" s="3" t="str">
        <x:v>Resistor_SMD:R_0603_1608Metric_Pad0.98x0.95mm_HandSolder</x:v>
      </x:c>
      <x:c r="D25" s="3" t="str">
        <x:v>C21190</x:v>
      </x:c>
    </x:row>
    <x:row r="26" ht="48" customHeight="1">
      <x:c r="A26" s="3" t="str">
        <x:v>100R/0603/1%</x:v>
      </x:c>
      <x:c r="B26" s="3" t="str">
        <x:v>R35, R36, R42, R55</x:v>
      </x:c>
      <x:c r="C26" s="3" t="str">
        <x:v>Resistor_SMD:R_0603_1608Metric_Pad0.98x0.95mm_HandSolder</x:v>
      </x:c>
      <x:c r="D26" s="3" t="str">
        <x:v>C22775</x:v>
      </x:c>
    </x:row>
    <x:row r="27" ht="48" customHeight="1">
      <x:c r="A27" s="3" t="str">
        <x:v>330/0603/1%</x:v>
      </x:c>
      <x:c r="B27" s="3" t="str">
        <x:v>R44, R77</x:v>
      </x:c>
      <x:c r="C27" s="3" t="str">
        <x:v>Resistor_SMD:R_0603_1608Metric_Pad0.98x0.95mm_HandSolder</x:v>
      </x:c>
      <x:c r="D27" s="3" t="str">
        <x:v>C23138</x:v>
      </x:c>
    </x:row>
    <x:row r="28" ht="48" customHeight="1">
      <x:c r="A28" s="3" t="str">
        <x:v>196k ±1%</x:v>
      </x:c>
      <x:c r="B28" s="3" t="str">
        <x:v>R45</x:v>
      </x:c>
      <x:c r="C28" s="3" t="str">
        <x:v>Resistor_SMD:R_0603_1608Metric_Pad0.98x0.95mm_HandSolder</x:v>
      </x:c>
      <x:c r="D28" s="3" t="str">
        <x:v>C4203218</x:v>
      </x:c>
    </x:row>
    <x:row r="29" ht="48" customHeight="1">
      <x:c r="A29" s="3" t="str">
        <x:v>30K/0603/1%</x:v>
      </x:c>
      <x:c r="B29" s="3" t="str">
        <x:v>R46, R74, R76</x:v>
      </x:c>
      <x:c r="C29" s="3" t="str">
        <x:v>Resistor_SMD:R_0603_1608Metric_Pad0.98x0.95mm_HandSolder</x:v>
      </x:c>
      <x:c r="D29" s="3" t="str">
        <x:v>C22984</x:v>
      </x:c>
    </x:row>
    <x:row r="30" ht="48" customHeight="1">
      <x:c r="A30" s="3" t="str">
        <x:v>270K/0603/1%</x:v>
      </x:c>
      <x:c r="B30" s="3" t="str">
        <x:v>R60</x:v>
      </x:c>
      <x:c r="C30" s="3" t="str">
        <x:v>Resistor_SMD:R_0603_1608Metric_Pad0.98x0.95mm_HandSolder</x:v>
      </x:c>
      <x:c r="D30" s="3" t="str">
        <x:v>C22965</x:v>
      </x:c>
    </x:row>
    <x:row r="31" ht="48" customHeight="1">
      <x:c r="A31" s="3" t="str">
        <x:v>135k ±0.1%</x:v>
      </x:c>
      <x:c r="B31" s="3" t="str">
        <x:v>R61</x:v>
      </x:c>
      <x:c r="C31" s="3" t="str">
        <x:v>Resistor_SMD:R_0603_1608Metric_Pad0.98x0.95mm_HandSolder</x:v>
      </x:c>
      <x:c r="D31" s="3" t="str">
        <x:v>C861113</x:v>
      </x:c>
    </x:row>
    <x:row r="32" ht="48" customHeight="1">
      <x:c r="A32" s="3" t="str">
        <x:v>549R ±1%</x:v>
      </x:c>
      <x:c r="B32" s="3" t="str">
        <x:v>R73</x:v>
      </x:c>
      <x:c r="C32" s="3" t="str">
        <x:v>Resistor_SMD:R_0603_1608Metric_Pad0.98x0.95mm_HandSolder</x:v>
      </x:c>
      <x:c r="D32" s="3" t="str">
        <x:v>C23079</x:v>
      </x:c>
    </x:row>
    <x:row r="33" ht="48" customHeight="1">
      <x:c r="A33" s="3" t="str">
        <x:v>680k ±1%</x:v>
      </x:c>
      <x:c r="B33" s="3" t="str">
        <x:v>R78</x:v>
      </x:c>
      <x:c r="C33" s="3" t="str">
        <x:v>Resistor_SMD:R_0603_1608Metric</x:v>
      </x:c>
      <x:c r="D33" s="3" t="str">
        <x:v>C25822</x:v>
      </x:c>
    </x:row>
    <x:row r="34" ht="48" customHeight="1">
      <x:c r="A34" s="3" t="str">
        <x:v>100K/0603/1%</x:v>
      </x:c>
      <x:c r="B34" s="3" t="str">
        <x:v>R79</x:v>
      </x:c>
      <x:c r="C34" s="3" t="str">
        <x:v>Resistor_SMD:R_0603_1608Metric</x:v>
      </x:c>
      <x:c r="D34" s="3" t="str">
        <x:v>C25803</x:v>
      </x:c>
    </x:row>
    <x:row r="35" ht="48" customHeight="1">
      <x:c r="A35" s="3" t="str">
        <x:v>390k ±1%</x:v>
      </x:c>
      <x:c r="B35" s="3" t="str">
        <x:v>R80</x:v>
      </x:c>
      <x:c r="C35" s="3" t="str">
        <x:v>Resistor_SMD:R_0603_1608Metric</x:v>
      </x:c>
      <x:c r="D35" s="3" t="str">
        <x:v>C2759410</x:v>
      </x:c>
    </x:row>
    <x:row r="36" ht="48" customHeight="1">
      <x:c r="A36" s="3" t="str">
        <x:v>1.65k ±1%</x:v>
      </x:c>
      <x:c r="B36" s="3" t="str">
        <x:v>R81</x:v>
      </x:c>
      <x:c r="C36" s="3" t="str">
        <x:v>Resistor_SMD:R_0603_1608Metric</x:v>
      </x:c>
      <x:c r="D36" s="3" t="str">
        <x:v>C22845</x:v>
      </x:c>
    </x:row>
    <x:row r="37" ht="48" customHeight="1">
      <x:c r="A37" s="3" t="str">
        <x:v>TL3301NF160QG/P010515</x:v>
      </x:c>
      <x:c r="B37" s="3" t="str">
        <x:v>SW1, SW2, SW3, SW4</x:v>
      </x:c>
      <x:c r="C37" s="3" t="str">
        <x:v>RheoBoard:Tactile_Switch_4pad</x:v>
      </x:c>
      <x:c r="D37" s="3" t="str">
        <x:v>C273527</x:v>
      </x:c>
    </x:row>
    <x:row r="38" ht="48" customHeight="1">
      <x:c r="A38" s="3" t="str">
        <x:v>TPS563203DRLR</x:v>
      </x:c>
      <x:c r="B38" s="3" t="str">
        <x:v>U1, U2, U3</x:v>
      </x:c>
      <x:c r="C38" s="3" t="str">
        <x:v>RheoBoard:TPS563203DRLR</x:v>
      </x:c>
      <x:c r="D38" s="3" t="str">
        <x:v>C22445512</x:v>
      </x:c>
    </x:row>
    <x:row r="39" ht="48" customHeight="1">
      <x:c r="A39" s="3" t="str">
        <x:v>MPRLS0025PA00001A</x:v>
      </x:c>
      <x:c r="B39" s="3" t="str">
        <x:v>U5</x:v>
      </x:c>
      <x:c r="C39" s="3" t="str">
        <x:v>RheoBoard:MPRLS0025PA00001A</x:v>
      </x:c>
      <x:c r="D39" s="3" t="str">
        <x:v>C3257154</x:v>
      </x:c>
    </x:row>
    <x:row r="40" ht="48" customHeight="1">
      <x:c r="A40" s="3" t="str">
        <x:v>PCA9685PW,118</x:v>
      </x:c>
      <x:c r="B40" s="3" t="str">
        <x:v>U7</x:v>
      </x:c>
      <x:c r="C40" s="3" t="str">
        <x:v>RheoBoard:PCA9685</x:v>
      </x:c>
      <x:c r="D40" s="3" t="str">
        <x:v>C2678753</x:v>
      </x:c>
    </x:row>
    <x:row r="41" ht="48" customHeight="1">
      <x:c r="A41" s="3" t="str">
        <x:v>TPS259472ARPWR</x:v>
      </x:c>
      <x:c r="B41" s="3" t="str">
        <x:v>U12</x:v>
      </x:c>
      <x:c r="C41" s="3" t="str">
        <x:v>RheoBoard:TI_RPW0010A_VQFN-HR_2x2mm</x:v>
      </x:c>
      <x:c r="D41" s="3" t="str">
        <x:v>C3662789</x:v>
      </x:c>
    </x:row>
    <x:row r="42" ht="70" customHeight="1">
      <x:c r="A42" s="3" t="str">
        <x:v>TCA9517ADGKR</x:v>
      </x:c>
      <x:c r="B42" s="3" t="str">
        <x:v>U13</x:v>
      </x:c>
      <x:c r="C42" s="3" t="str">
        <x:v>RheoBoard:TI_DGK0008A_VSSOP_3x3mm_P0.65mm</x:v>
      </x:c>
      <x:c r="D42" s="3" t="str">
        <x:v>C201698</x:v>
      </x:c>
    </x:row>
    <x:row r="43" ht="70" customHeight="1">
      <x:c r="A43" s="3" t="str">
        <x:v>BZT52C10-7-F</x:v>
      </x:c>
      <x:c r="B43" s="3" t="str">
        <x:v>D37</x:v>
      </x:c>
      <x:c r="C43" s="3" t="str">
        <x:v>Diode_SMD:D_SOD-123</x:v>
      </x:c>
      <x:c r="D43" s="3" t="str">
        <x:v>C155227</x:v>
      </x:c>
    </x:row>
    <x:row r="44" ht="48" customHeight="1">
      <x:c r="A44" s="3" t="str">
        <x:v>AO3400A</x:v>
      </x:c>
      <x:c r="B44" s="3" t="str">
        <x:v>Q3</x:v>
      </x:c>
      <x:c r="C44" s="3" t="str">
        <x:v>RheoBoard:AO3400A_Pin1Offset</x:v>
      </x:c>
      <x:c r="D44" s="3" t="str">
        <x:v>C20917</x:v>
      </x:c>
    </x:row>
    <x:row r="45" ht="70" customHeight="1">
      <x:c r="A45"/>
      <x:c r="B45"/>
      <x:c r="C45"/>
      <x:c r="D45"/>
    </x:row>
    <x:row r="46" ht="70" customHeight="1">
      <x:c r="A46"/>
      <x:c r="B46"/>
      <x:c r="C46"/>
      <x:c r="D46"/>
    </x:row>
  </x:sheetData>
  <x:pageMargins left="0.7" right="0.7" top="0.75" bottom="0.75" header="0.3" footer="0.3"/>
  <x:tableParts count="1">
    <x:tablePart xmlns:r="http://schemas.openxmlformats.org/officeDocument/2006/relationships" r:id="R318198dae4ab4027"/>
  </x:tableParts>
</x:worksheet>
</file>