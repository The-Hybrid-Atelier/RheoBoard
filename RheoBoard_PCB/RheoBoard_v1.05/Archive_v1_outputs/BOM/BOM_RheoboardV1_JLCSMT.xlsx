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\$0.0000"/>
    <numFmt numFmtId="166" formatCode="\$0.00"/>
  </numFmts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2" borderId="0" pivotButton="0" quotePrefix="0" xfId="0"/>
    <xf numFmtId="165" fontId="2" fillId="2" borderId="0" pivotButton="0" quotePrefix="0" xfId="0"/>
    <xf numFmtId="166" fontId="2" fillId="2" borderId="0" pivotButton="0" quotePrefix="0" xfId="0"/>
    <xf numFmtId="0" fontId="3" fillId="2" borderId="0" pivotButton="0" quotePrefix="0" xfId="0"/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5" fontId="2" fillId="2" borderId="0" pivotButton="0" quotePrefix="0" xfId="0"/>
    <xf numFmtId="166" fontId="2" fillId="2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Cursor</author>
  </authors>
  <commentList>
    <comment ref="F1" authorId="0" shapeId="0">
      <text>
        <t>Live supplier pricing checked 2026-09-28. Qty remains the number used on one board; line totals price one board using the 10-piece tier.</t>
      </text>
    </comment>
    <comment ref="F6" authorId="0" shapeId="0">
      <text>
        <t>Mouser displayed this 10-piece tier on 2026-09-28, but stock was 0.</t>
      </text>
    </comment>
    <comment ref="F8" authorId="0" shapeId="0">
      <text>
        <t>Mouser displayed this 10-piece tier on 2026-09-28, but stock was 0.</t>
      </text>
    </comment>
    <comment ref="F14" authorId="0" shapeId="0">
      <text>
        <t>SparkFun has no quantity-10 discount; ordinary $0.60 unit price shown.</t>
      </text>
    </comment>
    <comment ref="F19" authorId="0" shapeId="0">
      <text>
        <t>Mouser has no 10-piece tier for this Royalohm part; minimum order is 5,000 at $0.001 each. That MOQ unit price is shown.</t>
      </text>
    </comment>
    <comment ref="F21" authorId="0" shapeId="0">
      <text>
        <t>Mouser has no 10-piece tier for this Royalohm part; minimum order is 5,000 at $0.001 each. That MOQ unit price is shown.</t>
      </text>
    </comment>
    <comment ref="F26" authorId="0" shapeId="0">
      <text>
        <t>Mouser has no 10-piece tier for this Royalohm part; minimum order is 5,000 at $0.001 each. That MOQ unit price is shown.</t>
      </text>
    </comment>
    <comment ref="F29" authorId="0" shapeId="0">
      <text>
        <t>Mouser has no 10-piece tier for this Royalohm part; minimum order is 5,000 at $0.001 each. That MOQ unit price is shown.</t>
      </text>
    </comment>
    <comment ref="F35" authorId="0" shapeId="0">
      <text>
        <t>Adafruit 10-99 tier.</t>
      </text>
    </comment>
    <comment ref="F36" authorId="0" shapeId="0">
      <text>
        <t>Adafruit 10-99 tier.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user.com/ProductDetail/YAGEO/CC0805KKX5R8BB106?qs=57cj7OiSijm89pM64t1AGQ%3D%3D" TargetMode="External" Id="rId1"/><Relationship Type="http://schemas.openxmlformats.org/officeDocument/2006/relationships/hyperlink" Target="https://www.mouser.com/ProductDetail/YAGEO/CC0603KRX7R9BB104?qs=vTakOoo5QyLvVCYM2ge8LQ%3D%3D" TargetMode="External" Id="rId2"/><Relationship Type="http://schemas.openxmlformats.org/officeDocument/2006/relationships/hyperlink" Target="https://www.mouser.com/ProductDetail/Knowles-Novacap/0603B103K500NT?qs=P%2FxahI%2BVehmDRqlqdBNpcg%3D%3D" TargetMode="External" Id="rId3"/><Relationship Type="http://schemas.openxmlformats.org/officeDocument/2006/relationships/hyperlink" Target="https://www.mouser.com/ProductDetail/YAGEO/CC0603KRX7R9BB102?qs=AgBp2OyFlx%2F%2Fw3f5uZqSVQ%3D%3D" TargetMode="External" Id="rId4"/><Relationship Type="http://schemas.openxmlformats.org/officeDocument/2006/relationships/hyperlink" Target="https://www.mouser.com/ProductDetail/Murata-Electronics/GRM188R61E106MA73D?qs=PoXZt%2B2CjACpktoD15Kv0Q%3D%3D" TargetMode="External" Id="rId5"/><Relationship Type="http://schemas.openxmlformats.org/officeDocument/2006/relationships/hyperlink" Target="https://www.mouser.com/ProductDetail/Panasonic-Industry/EEE-FK1C101P?qs=qE6bgDGEOCuSC5c%2BLSbo8Q%3D%3D" TargetMode="External" Id="rId6"/><Relationship Type="http://schemas.openxmlformats.org/officeDocument/2006/relationships/hyperlink" Target="https://www.mouser.com/ProductDetail/Murata-Electronics/GRM21BR61E226ME44K?qs=hNud%2FORuBR25jDsUehWlrQ%3D%3D" TargetMode="External" Id="rId7"/><Relationship Type="http://schemas.openxmlformats.org/officeDocument/2006/relationships/hyperlink" Target="https://www.mouser.com/ProductDetail/YAGEO/CC0603JRNPO9BN180?qs=vTakOoo5QyKBbsg9i%2BJDzw%3D%3D" TargetMode="External" Id="rId8"/><Relationship Type="http://schemas.openxmlformats.org/officeDocument/2006/relationships/hyperlink" Target="https://www.mouser.com/ProductDetail/Diodes-Incorporated/B540C-13-F?qs=v2dnQLbuoRZXHN%2FK4ft5%2Bg%3D%3D" TargetMode="External" Id="rId9"/><Relationship Type="http://schemas.openxmlformats.org/officeDocument/2006/relationships/hyperlink" Target="https://www.mouser.com/ProductDetail/LITEON/LTST-C190KRKT?qs=kAD5fFa1n5VY3YYNWPC1Fg%3D%3D" TargetMode="External" Id="rId10"/><Relationship Type="http://schemas.openxmlformats.org/officeDocument/2006/relationships/hyperlink" Target="https://www.mouser.com/ProductDetail/onsemi/MBRS340T3G?qs=3JMERSakeboCr3wxBgfY3w%3D%3D" TargetMode="External" Id="rId11"/><Relationship Type="http://schemas.openxmlformats.org/officeDocument/2006/relationships/hyperlink" Target="https://www.mouser.com/ProductDetail/LITEON/LTST-C190KRKT?qs=kAD5fFa1n5VY3YYNWPC1Fg%3D%3D" TargetMode="External" Id="rId12"/><Relationship Type="http://schemas.openxmlformats.org/officeDocument/2006/relationships/hyperlink" Target="https://www.sparkfun.com/qwiic-jst-connector-smd-4-pin-horizontal.html" TargetMode="External" Id="rId13"/><Relationship Type="http://schemas.openxmlformats.org/officeDocument/2006/relationships/hyperlink" Target="https://www.mouser.com/ProductDetail/JST-Commercial/SM04B-SRSS-TBLFSN?qs=cdbOS8ANM9B3FdyA6cNU2A%3D%3D" TargetMode="External" Id="rId14"/><Relationship Type="http://schemas.openxmlformats.org/officeDocument/2006/relationships/hyperlink" Target="https://www.mouser.com/ProductDetail/Bourns/SRP5030TA-4R7M?qs=ZwKJWZfDtNio1N7LHs0tpQ%3D%3D" TargetMode="External" Id="rId15"/><Relationship Type="http://schemas.openxmlformats.org/officeDocument/2006/relationships/hyperlink" Target="https://www.digikey.com/en/products/detail/alpha-omega-semiconductor-inc/AO3400A/1856105" TargetMode="External" Id="rId16"/><Relationship Type="http://schemas.openxmlformats.org/officeDocument/2006/relationships/hyperlink" Target="https://www.mouser.com/ProductDetail/YAGEO/RC0603FR-07100KL?qs=e1ok2LiJcmaihem8Va5%2Fsw%3D%3D" TargetMode="External" Id="rId17"/><Relationship Type="http://schemas.openxmlformats.org/officeDocument/2006/relationships/hyperlink" Target="https://www.mouser.com/ProductDetail/YAGEO/RC0603FR-072K2L?qs=diQw95jMAeOQmNpe2MM%2BPw%3D%3D" TargetMode="External" Id="rId18"/><Relationship Type="http://schemas.openxmlformats.org/officeDocument/2006/relationships/hyperlink" Target="https://www.mouser.com/ProductDetail/Royalohm/0603WAF4701T5E?qs=e8oIoAS2J1TMXaPvgUFn6Q%3D%3D" TargetMode="External" Id="rId19"/><Relationship Type="http://schemas.openxmlformats.org/officeDocument/2006/relationships/hyperlink" Target="https://www.mouser.com/ProductDetail/YAGEO/RC0603FR-0710KL?qs=grNVn54RoB%2B3GtjbJj3wJQ%3D%3D" TargetMode="External" Id="rId20"/><Relationship Type="http://schemas.openxmlformats.org/officeDocument/2006/relationships/hyperlink" Target="https://www.mouser.com/ProductDetail/Royalohm/0603WAF1001T5E?qs=e8oIoAS2J1QSdiq0gwpEIg%3D%3D" TargetMode="External" Id="rId21"/><Relationship Type="http://schemas.openxmlformats.org/officeDocument/2006/relationships/hyperlink" Target="https://www.mouser.com/ProductDetail/YAGEO/RC0603FR-07100RL?qs=NEN%2FsE%2FLsvPIwIWKCOS4%2FA%3D%3D" TargetMode="External" Id="rId22"/><Relationship Type="http://schemas.openxmlformats.org/officeDocument/2006/relationships/hyperlink" Target="https://www.mouser.com/ProductDetail/YAGEO/RC0603FR-07330RL?qs=diQw95jMAeN1335dAOzMfg%3D%3D" TargetMode="External" Id="rId23"/><Relationship Type="http://schemas.openxmlformats.org/officeDocument/2006/relationships/hyperlink" Target="https://www.mouser.com/ProductDetail/Vishay/CRCW0603196KFKEA?qs=F8Fiu5nZiPgRWYxdubnzvQ%3D%3D" TargetMode="External" Id="rId24"/><Relationship Type="http://schemas.openxmlformats.org/officeDocument/2006/relationships/hyperlink" Target="https://www.mouser.com/ProductDetail/YAGEO/RC0603FR-0730KL?qs=diQw95jMAeNFr44yr782FQ%3D%3D" TargetMode="External" Id="rId25"/><Relationship Type="http://schemas.openxmlformats.org/officeDocument/2006/relationships/hyperlink" Target="https://www.mouser.com/ProductDetail/Royalohm/0603WAF2703T5E?qs=e8oIoAS2J1QsS%2FJYoIXg6Q%3D%3D" TargetMode="External" Id="rId26"/><Relationship Type="http://schemas.openxmlformats.org/officeDocument/2006/relationships/hyperlink" Target="https://www.mouser.com/ProductDetail/YAGEO/RT0603BRD07135KL?qs=JBUVnscnTFIetsNEjxHNJQ%3D%3D" TargetMode="External" Id="rId27"/><Relationship Type="http://schemas.openxmlformats.org/officeDocument/2006/relationships/hyperlink" Target="https://www.mouser.com/ProductDetail/YAGEO/RC0603FR-07549RL?qs=gt6vzsuosg3fZB4W1LlPKg%3D%3D" TargetMode="External" Id="rId28"/><Relationship Type="http://schemas.openxmlformats.org/officeDocument/2006/relationships/hyperlink" Target="https://www.mouser.com/ProductDetail/Royalohm/0603WAF1001T5E?qs=e8oIoAS2J1QSdiq0gwpEIg%3D%3D" TargetMode="External" Id="rId29"/><Relationship Type="http://schemas.openxmlformats.org/officeDocument/2006/relationships/hyperlink" Target="https://www.mouser.com/ProductDetail/E-Switch/TL3301NF160QG?qs=xDsBkp9LkofW6m%2BYTACJPg%3D%3D" TargetMode="External" Id="rId30"/><Relationship Type="http://schemas.openxmlformats.org/officeDocument/2006/relationships/hyperlink" Target="https://www.mouser.com/ProductDetail/Texas-Instruments/TPS563203DRLR?qs=dbcCsuKDzFXSWrTv7Y7bjQ%3D%3D" TargetMode="External" Id="rId31"/><Relationship Type="http://schemas.openxmlformats.org/officeDocument/2006/relationships/hyperlink" Target="https://www.mouser.com/ProductDetail/Texas-Instruments/TCA9534APWR?qs=asCBFxFfL1RkU8XbvZBOXg%3D%3D" TargetMode="External" Id="rId32"/><Relationship Type="http://schemas.openxmlformats.org/officeDocument/2006/relationships/hyperlink" Target="https://www.mouser.com/ProductDetail/Honeywell/MPRLS0025PA00001A?qs=0lQeLiL1qyYP02EvUZH3dw%3D%3D" TargetMode="External" Id="rId33"/><Relationship Type="http://schemas.openxmlformats.org/officeDocument/2006/relationships/hyperlink" Target="https://www.digikey.com/en/products/detail/nxp-usa-inc/PCA9685PW-118/5221903" TargetMode="External" Id="rId34"/><Relationship Type="http://schemas.openxmlformats.org/officeDocument/2006/relationships/hyperlink" Target="https://www.mouser.com/ProductDetail/NXP-Semiconductors/PCA9685PW118?qs=6YAT8rHPFU%2BtfwwKq4nwEQ%3D%3D" TargetMode="External" Id="rId35"/><Relationship Type="http://schemas.openxmlformats.org/officeDocument/2006/relationships/hyperlink" Target="https://www.adafruit.com/product/4699" TargetMode="External" Id="rId36"/><Relationship Type="http://schemas.openxmlformats.org/officeDocument/2006/relationships/hyperlink" Target="https://www.adafruit.com/product/4663" TargetMode="External" Id="rId37"/><Relationship Type="http://schemas.openxmlformats.org/officeDocument/2006/relationships/hyperlink" Target="https://www.mouser.com/ProductDetail/Littelfuse/0461002.ER?qs=bpnLQM2ZShwCPg%2BDpPZgdw%3D%3D" TargetMode="External" Id="rId38"/><Relationship Type="http://schemas.openxmlformats.org/officeDocument/2006/relationships/hyperlink" Target="https://www.digikey.com/en/products/detail/jst-sales-america-inc/B4B-EH-A/758748" TargetMode="External" Id="rId39"/><Relationship Type="http://schemas.openxmlformats.org/officeDocument/2006/relationships/hyperlink" Target="https://www.mouser.com/ProductDetail/JST-Commercial/B4B-EH-ALFSN?qs=cdbOS8ANM9DAINrtzhP3dA%3D%3D" TargetMode="External" Id="rId40"/><Relationship Type="http://schemas.openxmlformats.org/officeDocument/2006/relationships/hyperlink" Target="https://www.mouser.com/ProductDetail/Same-Sky/PJ-082BH?qs=WyjlAZoYn52P2Lo8hPB1tg%3D%3D" TargetMode="External" Id="rId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topLeftCell="A10" workbookViewId="0">
      <selection activeCell="B44" sqref="B44"/>
    </sheetView>
  </sheetViews>
  <sheetFormatPr baseColWidth="10" defaultColWidth="8.83203125" defaultRowHeight="15"/>
  <cols>
    <col width="46" customWidth="1" min="1" max="1"/>
    <col width="60" customWidth="1" min="2" max="2"/>
    <col width="62" customWidth="1" min="3" max="3"/>
    <col width="28" customWidth="1" min="4" max="4"/>
    <col width="8" customWidth="1" min="5" max="5"/>
    <col width="18" customWidth="1" min="6" max="6"/>
    <col width="16" customWidth="1" min="7" max="7"/>
    <col width="78" customWidth="1" min="8" max="9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#（optional）</t>
        </is>
      </c>
      <c r="E1" s="1" t="inlineStr">
        <is>
          <t>Qty</t>
        </is>
      </c>
      <c r="F1" s="1" t="inlineStr">
        <is>
          <t>Unit price @ 10 pcs (USD)</t>
        </is>
      </c>
      <c r="G1" s="1" t="inlineStr">
        <is>
          <t>Line total (USD)</t>
        </is>
      </c>
      <c r="H1" s="1" t="inlineStr">
        <is>
          <t>Link</t>
        </is>
      </c>
      <c r="I1" s="1" t="inlineStr">
        <is>
          <t>Backup Link</t>
        </is>
      </c>
    </row>
    <row r="2">
      <c r="A2" s="2" t="inlineStr">
        <is>
          <t>10uF/25V/0805/1%</t>
        </is>
      </c>
      <c r="B2" s="2" t="inlineStr">
        <is>
          <t>C1,C2,C8,C9,C15,C16</t>
        </is>
      </c>
      <c r="C2" s="2" t="inlineStr">
        <is>
          <t>C_0805_2012Metric_Pad1.18x1.45mm_HandSolder</t>
        </is>
      </c>
      <c r="D2" s="2" t="inlineStr">
        <is>
          <t>C5448891</t>
        </is>
      </c>
      <c r="E2" s="2" t="n">
        <v>6</v>
      </c>
      <c r="F2" s="12" t="n">
        <v>0.256</v>
      </c>
      <c r="G2" s="13">
        <f>E2*F2</f>
        <v/>
      </c>
      <c r="H2" s="3" t="inlineStr">
        <is>
          <t>https://www.mouser.com/ProductDetail/YAGEO/CC0805KKX5R8BB106?qs=57cj7OiSijm89pM64t1AGQ%3D%3D</t>
        </is>
      </c>
    </row>
    <row r="3">
      <c r="A3" s="2" t="inlineStr">
        <is>
          <t>0.1uF/25V/0603/1%</t>
        </is>
      </c>
      <c r="B3" s="2" t="inlineStr">
        <is>
          <t>C3,C4,C5,C23,C24,C25,C26,C30,C31,C33,C42,C44,C46,C47,C56,C59,C63</t>
        </is>
      </c>
      <c r="C3" s="2" t="inlineStr">
        <is>
          <t>C_0603_1608Metric_Pad1.08x0.95mm_HandSolder</t>
        </is>
      </c>
      <c r="D3" s="2" t="inlineStr">
        <is>
          <t>C14663</t>
        </is>
      </c>
      <c r="E3" s="2" t="n">
        <v>17</v>
      </c>
      <c r="F3" s="12" t="n">
        <v>0.073</v>
      </c>
      <c r="G3" s="13">
        <f>E3*F3</f>
        <v/>
      </c>
      <c r="H3" s="3" t="inlineStr">
        <is>
          <t>https://www.mouser.com/ProductDetail/YAGEO/CC0603KRX7R9BB104?qs=vTakOoo5QyLvVCYM2ge8LQ%3D%3D</t>
        </is>
      </c>
    </row>
    <row r="4">
      <c r="A4" s="2" t="inlineStr">
        <is>
          <t>10nF/25V/0603/1%</t>
        </is>
      </c>
      <c r="B4" s="2" t="inlineStr">
        <is>
          <t>C22</t>
        </is>
      </c>
      <c r="C4" s="2" t="inlineStr">
        <is>
          <t>C_0603_1608Metric_Pad1.08x0.95mm_HandSolder</t>
        </is>
      </c>
      <c r="D4" s="2" t="inlineStr">
        <is>
          <t>C57112</t>
        </is>
      </c>
      <c r="E4" s="2" t="n">
        <v>1</v>
      </c>
      <c r="F4" s="12" t="n">
        <v>0.92</v>
      </c>
      <c r="G4" s="13">
        <f>E4*F4</f>
        <v/>
      </c>
      <c r="H4" s="3" t="inlineStr">
        <is>
          <t>https://www.mouser.com/ProductDetail/Knowles-Novacap/0603B103K500NT?qs=P%2FxahI%2BVehmDRqlqdBNpcg%3D%3D</t>
        </is>
      </c>
    </row>
    <row r="5">
      <c r="A5" s="2" t="inlineStr">
        <is>
          <t>1nF/25V/0603/1%</t>
        </is>
      </c>
      <c r="B5" s="2" t="inlineStr">
        <is>
          <t>C27</t>
        </is>
      </c>
      <c r="C5" s="2" t="inlineStr">
        <is>
          <t>C_0603_1608Metric_Pad1.08x0.95mm_HandSolder</t>
        </is>
      </c>
      <c r="D5" s="2" t="inlineStr">
        <is>
          <t>C5360811</t>
        </is>
      </c>
      <c r="E5" s="2" t="n">
        <v>1</v>
      </c>
      <c r="F5" s="12" t="n">
        <v>0.052</v>
      </c>
      <c r="G5" s="13">
        <f>E5*F5</f>
        <v/>
      </c>
      <c r="H5" s="3" t="inlineStr">
        <is>
          <t>https://www.mouser.com/ProductDetail/YAGEO/CC0603KRX7R9BB102?qs=AgBp2OyFlx%2F%2Fw3f5uZqSVQ%3D%3D</t>
        </is>
      </c>
    </row>
    <row r="6">
      <c r="A6" s="2" t="inlineStr">
        <is>
          <t>10uF/25V/0603/1%</t>
        </is>
      </c>
      <c r="B6" s="2" t="inlineStr">
        <is>
          <t>C28,C29</t>
        </is>
      </c>
      <c r="C6" s="2" t="inlineStr">
        <is>
          <t>C_0603_1608Metric_Pad1.08x0.95mm_HandSolder</t>
        </is>
      </c>
      <c r="D6" s="2" t="inlineStr">
        <is>
          <t>C7393892</t>
        </is>
      </c>
      <c r="E6" s="2" t="n">
        <v>2</v>
      </c>
      <c r="F6" s="12" t="n">
        <v>0.165</v>
      </c>
      <c r="G6" s="13">
        <f>E6*F6</f>
        <v/>
      </c>
      <c r="H6" s="3" t="inlineStr">
        <is>
          <t>https://www.mouser.com/ProductDetail/Murata-Electronics/GRM188R61E106MA73D?qs=PoXZt%2B2CjACpktoD15Kv0Q%3D%3D</t>
        </is>
      </c>
    </row>
    <row r="7">
      <c r="A7" s="2" t="inlineStr">
        <is>
          <t>100uF/16V</t>
        </is>
      </c>
      <c r="B7" s="2" t="inlineStr">
        <is>
          <t>C32,C34,C43,C45</t>
        </is>
      </c>
      <c r="C7" s="2" t="inlineStr">
        <is>
          <t>CP_Elec_6.3x5.4_Nichicon</t>
        </is>
      </c>
      <c r="D7" s="2" t="inlineStr">
        <is>
          <t>C128532</t>
        </is>
      </c>
      <c r="E7" s="2" t="n">
        <v>4</v>
      </c>
      <c r="F7" s="12" t="n">
        <v>0.283</v>
      </c>
      <c r="G7" s="13">
        <f>E7*F7</f>
        <v/>
      </c>
      <c r="H7" s="3" t="inlineStr">
        <is>
          <t>https://www.mouser.com/ProductDetail/Panasonic-Industry/EEE-FK1C101P?qs=qE6bgDGEOCuSC5c%2BLSbo8Q%3D%3D</t>
        </is>
      </c>
    </row>
    <row r="8">
      <c r="A8" s="2" t="inlineStr">
        <is>
          <t>22uF/25V/0805/1%</t>
        </is>
      </c>
      <c r="B8" s="2" t="inlineStr">
        <is>
          <t>C52,C53,C54,C57,C60,C61</t>
        </is>
      </c>
      <c r="C8" s="2" t="inlineStr">
        <is>
          <t>C_0805_2012Metric_Pad1.18x1.45mm_HandSolder</t>
        </is>
      </c>
      <c r="D8" s="2" t="inlineStr">
        <is>
          <t>C20416420</t>
        </is>
      </c>
      <c r="E8" s="2" t="n">
        <v>6</v>
      </c>
      <c r="F8" s="12" t="n">
        <v>0.216</v>
      </c>
      <c r="G8" s="13">
        <f>E8*F8</f>
        <v/>
      </c>
      <c r="H8" s="3" t="inlineStr">
        <is>
          <t>https://www.mouser.com/ProductDetail/Murata-Electronics/GRM21BR61E226ME44K?qs=hNud%2FORuBR25jDsUehWlrQ%3D%3D</t>
        </is>
      </c>
    </row>
    <row r="9">
      <c r="A9" s="2" t="inlineStr">
        <is>
          <t>18pF/25V/0603/1%/C0G/NP0</t>
        </is>
      </c>
      <c r="B9" s="2" t="inlineStr">
        <is>
          <t>C55,C58,C62</t>
        </is>
      </c>
      <c r="C9" s="2" t="inlineStr">
        <is>
          <t>C_0603_1608Metric_Pad1.08x0.95mm_HandSolder</t>
        </is>
      </c>
      <c r="D9" s="2" t="inlineStr">
        <is>
          <t>C2169079</t>
        </is>
      </c>
      <c r="E9" s="2" t="n">
        <v>3</v>
      </c>
      <c r="F9" s="12" t="n">
        <v>0.043</v>
      </c>
      <c r="G9" s="13">
        <f>E9*F9</f>
        <v/>
      </c>
      <c r="H9" s="3" t="inlineStr">
        <is>
          <t>https://www.mouser.com/ProductDetail/YAGEO/CC0603JRNPO9BN180?qs=vTakOoo5QyKBbsg9i%2BJDzw%3D%3D</t>
        </is>
      </c>
    </row>
    <row r="10">
      <c r="A10" s="2" t="inlineStr">
        <is>
          <t>B540C</t>
        </is>
      </c>
      <c r="B10" s="2" t="inlineStr">
        <is>
          <t>D1</t>
        </is>
      </c>
      <c r="C10" s="2" t="inlineStr">
        <is>
          <t>D_SMC</t>
        </is>
      </c>
      <c r="D10" s="2" t="inlineStr">
        <is>
          <t>C72264</t>
        </is>
      </c>
      <c r="E10" s="2" t="n">
        <v>1</v>
      </c>
      <c r="F10" s="12" t="n">
        <v>0.438</v>
      </c>
      <c r="G10" s="13">
        <f>E10*F10</f>
        <v/>
      </c>
      <c r="H10" s="3" t="inlineStr">
        <is>
          <t>https://www.mouser.com/ProductDetail/Diodes-Incorporated/B540C-13-F?qs=v2dnQLbuoRZXHN%2FK4ft5%2Bg%3D%3D</t>
        </is>
      </c>
    </row>
    <row r="11">
      <c r="A11" s="2" t="inlineStr">
        <is>
          <t>LED_Red</t>
        </is>
      </c>
      <c r="B11" s="2" t="inlineStr">
        <is>
          <t>D6,D7,D8,D13,D14,D15,D17,D19</t>
        </is>
      </c>
      <c r="C11" s="2" t="inlineStr">
        <is>
          <t>LED_0603_1608Metric_Pad1.05x0.95mm_HandSolder</t>
        </is>
      </c>
      <c r="D11" s="2" t="inlineStr">
        <is>
          <t>C434419</t>
        </is>
      </c>
      <c r="E11" s="2" t="n">
        <v>8</v>
      </c>
      <c r="F11" s="12" t="n">
        <v>0.098</v>
      </c>
      <c r="G11" s="13">
        <f>E11*F11</f>
        <v/>
      </c>
      <c r="H11" s="3" t="inlineStr">
        <is>
          <t>https://www.mouser.com/ProductDetail/LITEON/LTST-C190KRKT?qs=kAD5fFa1n5VY3YYNWPC1Fg%3D%3D</t>
        </is>
      </c>
    </row>
    <row r="12">
      <c r="A12" s="2" t="inlineStr">
        <is>
          <t>SS34</t>
        </is>
      </c>
      <c r="B12" s="2" t="inlineStr">
        <is>
          <t>D11,D12,D16,D18</t>
        </is>
      </c>
      <c r="C12" s="2" t="inlineStr">
        <is>
          <t>SS34</t>
        </is>
      </c>
      <c r="D12" s="2" t="inlineStr">
        <is>
          <t>C115205</t>
        </is>
      </c>
      <c r="E12" s="2" t="n">
        <v>4</v>
      </c>
      <c r="F12" s="12" t="n">
        <v>0.467</v>
      </c>
      <c r="G12" s="13">
        <f>E12*F12</f>
        <v/>
      </c>
      <c r="H12" s="3" t="inlineStr">
        <is>
          <t>https://www.mouser.com/ProductDetail/onsemi/MBRS340T3G?qs=3JMERSakeboCr3wxBgfY3w%3D%3D</t>
        </is>
      </c>
    </row>
    <row r="13">
      <c r="A13" s="2" t="inlineStr">
        <is>
          <t>LED_Red</t>
        </is>
      </c>
      <c r="B13" s="2" t="inlineStr">
        <is>
          <t>D33,D34,D35</t>
        </is>
      </c>
      <c r="C13" s="2" t="inlineStr">
        <is>
          <t>LED_0603_1608Metric</t>
        </is>
      </c>
      <c r="D13" s="2" t="inlineStr">
        <is>
          <t>C434419</t>
        </is>
      </c>
      <c r="E13" s="2" t="n">
        <v>3</v>
      </c>
      <c r="F13" s="12" t="n">
        <v>0.098</v>
      </c>
      <c r="G13" s="13">
        <f>E13*F13</f>
        <v/>
      </c>
      <c r="H13" s="3" t="inlineStr">
        <is>
          <t>https://www.mouser.com/ProductDetail/LITEON/LTST-C190KRKT?qs=kAD5fFa1n5VY3YYNWPC1Fg%3D%3D</t>
        </is>
      </c>
    </row>
    <row r="14">
      <c r="A14" s="2" t="inlineStr">
        <is>
          <t>Qwiic (black)</t>
        </is>
      </c>
      <c r="B14" s="2" t="inlineStr">
        <is>
          <t>J1,J9,J12,J17</t>
        </is>
      </c>
      <c r="C14" s="2" t="inlineStr">
        <is>
          <t>JST_SH_SM04B-SRSS-TB_1x04-1MP_P1.00mm_Horizontal</t>
        </is>
      </c>
      <c r="D14" s="2" t="inlineStr">
        <is>
          <t>C160404</t>
        </is>
      </c>
      <c r="E14" s="2" t="n">
        <v>4</v>
      </c>
      <c r="F14" s="12" t="n">
        <v>0.6</v>
      </c>
      <c r="G14" s="13">
        <f>E14*F14</f>
        <v/>
      </c>
      <c r="H14" s="3" t="inlineStr">
        <is>
          <t>https://www.sparkfun.com/qwiic-jst-connector-smd-4-pin-horizontal.html</t>
        </is>
      </c>
      <c r="I14" s="3" t="inlineStr">
        <is>
          <t>https://www.mouser.com/ProductDetail/JST-Commercial/SM04B-SRSS-TBLFSN?qs=cdbOS8ANM9B3FdyA6cNU2A%3D%3D</t>
        </is>
      </c>
    </row>
    <row r="15">
      <c r="A15" s="2" t="inlineStr">
        <is>
          <t>4.7uH/4A</t>
        </is>
      </c>
      <c r="B15" s="2" t="inlineStr">
        <is>
          <t>L1,L2,L5</t>
        </is>
      </c>
      <c r="C15" s="2" t="inlineStr">
        <is>
          <t>4.7uH_2A</t>
        </is>
      </c>
      <c r="D15" s="2" t="inlineStr">
        <is>
          <t>C177246</t>
        </is>
      </c>
      <c r="E15" s="2" t="n">
        <v>3</v>
      </c>
      <c r="F15" s="12" t="n">
        <v>0.904</v>
      </c>
      <c r="G15" s="13">
        <f>E15*F15</f>
        <v/>
      </c>
      <c r="H15" s="3" t="inlineStr">
        <is>
          <t>https://www.mouser.com/ProductDetail/Bourns/SRP5030TA-4R7M?qs=ZwKJWZfDtNio1N7LHs0tpQ%3D%3D</t>
        </is>
      </c>
    </row>
    <row r="16">
      <c r="A16" s="2" t="inlineStr">
        <is>
          <t>AO3400A</t>
        </is>
      </c>
      <c r="B16" s="2" t="inlineStr">
        <is>
          <t>Q3,Q4,Q8,Q10</t>
        </is>
      </c>
      <c r="C16" s="2" t="inlineStr">
        <is>
          <t>AO3400A</t>
        </is>
      </c>
      <c r="D16" s="2" t="inlineStr">
        <is>
          <t>C20917</t>
        </is>
      </c>
      <c r="E16" s="2" t="n">
        <v>4</v>
      </c>
      <c r="F16" s="12" t="n">
        <v>0.322</v>
      </c>
      <c r="G16" s="13">
        <f>E16*F16</f>
        <v/>
      </c>
      <c r="H16" s="3" t="inlineStr">
        <is>
          <t>https://www.digikey.com/en/products/detail/alpha-omega-semiconductor-inc/AO3400A/1856105</t>
        </is>
      </c>
    </row>
    <row r="17">
      <c r="A17" s="2" t="inlineStr">
        <is>
          <t>100K/0603/1%</t>
        </is>
      </c>
      <c r="B17" s="2" t="inlineStr">
        <is>
          <t>R1,R4,R7</t>
        </is>
      </c>
      <c r="C17" s="2" t="inlineStr">
        <is>
          <t>R_0603_1608Metric_Pad0.98x0.95mm_HandSolder</t>
        </is>
      </c>
      <c r="D17" s="2" t="inlineStr">
        <is>
          <t>C25803</t>
        </is>
      </c>
      <c r="E17" s="2" t="n">
        <v>3</v>
      </c>
      <c r="F17" s="12" t="n">
        <v>0.014</v>
      </c>
      <c r="G17" s="13">
        <f>E17*F17</f>
        <v/>
      </c>
      <c r="H17" s="3" t="inlineStr">
        <is>
          <t>https://www.mouser.com/ProductDetail/YAGEO/RC0603FR-07100KL?qs=e1ok2LiJcmaihem8Va5%2Fsw%3D%3D</t>
        </is>
      </c>
    </row>
    <row r="18">
      <c r="A18" s="2" t="inlineStr">
        <is>
          <t>2K2/0603/1%</t>
        </is>
      </c>
      <c r="B18" s="2" t="inlineStr">
        <is>
          <t>R10</t>
        </is>
      </c>
      <c r="C18" s="2" t="inlineStr">
        <is>
          <t>R_0603_1608Metric_Pad0.98x0.95mm_HandSolder</t>
        </is>
      </c>
      <c r="D18" s="2" t="inlineStr">
        <is>
          <t>C4190</t>
        </is>
      </c>
      <c r="E18" s="2" t="n">
        <v>1</v>
      </c>
      <c r="F18" s="12" t="n">
        <v>0.014</v>
      </c>
      <c r="G18" s="13">
        <f>E18*F18</f>
        <v/>
      </c>
      <c r="H18" s="3" t="inlineStr">
        <is>
          <t>https://www.mouser.com/ProductDetail/YAGEO/RC0603FR-072K2L?qs=diQw95jMAeOQmNpe2MM%2BPw%3D%3D</t>
        </is>
      </c>
    </row>
    <row r="19">
      <c r="A19" s="2" t="inlineStr">
        <is>
          <t>4K7/0603/1%</t>
        </is>
      </c>
      <c r="B19" s="2" t="inlineStr">
        <is>
          <t>R11,R15,R20</t>
        </is>
      </c>
      <c r="C19" s="2" t="inlineStr">
        <is>
          <t>R_0603_1608Metric_Pad0.98x0.95mm_HandSolder</t>
        </is>
      </c>
      <c r="D19" s="2" t="inlineStr">
        <is>
          <t>C23162</t>
        </is>
      </c>
      <c r="E19" s="2" t="n">
        <v>3</v>
      </c>
      <c r="F19" s="12" t="n">
        <v>0.001</v>
      </c>
      <c r="G19" s="13">
        <f>E19*F19</f>
        <v/>
      </c>
      <c r="H19" s="3" t="inlineStr">
        <is>
          <t>https://www.mouser.com/ProductDetail/Royalohm/0603WAF4701T5E?qs=e8oIoAS2J1TMXaPvgUFn6Q%3D%3D</t>
        </is>
      </c>
    </row>
    <row r="20">
      <c r="A20" s="2" t="inlineStr">
        <is>
          <t>10K/0603/1%</t>
        </is>
      </c>
      <c r="B20" s="2" t="inlineStr">
        <is>
          <t>R13,R14,R16,R17,R18,R19,R22,R23,R29,R30,R31,R32,R33,R34,R37,R38,R51,R56</t>
        </is>
      </c>
      <c r="C20" s="2" t="inlineStr">
        <is>
          <t>R_0603_1608Metric_Pad0.98x0.95mm_HandSolder</t>
        </is>
      </c>
      <c r="D20" s="2" t="inlineStr">
        <is>
          <t>C25804</t>
        </is>
      </c>
      <c r="E20" s="2" t="n">
        <v>18</v>
      </c>
      <c r="F20" s="12" t="n">
        <v>0.014</v>
      </c>
      <c r="G20" s="13">
        <f>E20*F20</f>
        <v/>
      </c>
      <c r="H20" s="3" t="inlineStr">
        <is>
          <t>https://www.mouser.com/ProductDetail/YAGEO/RC0603FR-0710KL?qs=grNVn54RoB%2B3GtjbJj3wJQ%3D%3D</t>
        </is>
      </c>
    </row>
    <row r="21">
      <c r="A21" s="2" t="inlineStr">
        <is>
          <t>1K/0603/1%</t>
        </is>
      </c>
      <c r="B21" s="2" t="inlineStr">
        <is>
          <t>R24,R25,R26,R39,R40,R54,R59</t>
        </is>
      </c>
      <c r="C21" s="2" t="inlineStr">
        <is>
          <t>R_0603_1608Metric_Pad0.98x0.95mm_HandSolder</t>
        </is>
      </c>
      <c r="D21" s="2" t="inlineStr">
        <is>
          <t>C21190</t>
        </is>
      </c>
      <c r="E21" s="2" t="n">
        <v>7</v>
      </c>
      <c r="F21" s="12" t="n">
        <v>0.001</v>
      </c>
      <c r="G21" s="13">
        <f>E21*F21</f>
        <v/>
      </c>
      <c r="H21" s="3" t="inlineStr">
        <is>
          <t>https://www.mouser.com/ProductDetail/Royalohm/0603WAF1001T5E?qs=e8oIoAS2J1QSdiq0gwpEIg%3D%3D</t>
        </is>
      </c>
    </row>
    <row r="22">
      <c r="A22" s="2" t="inlineStr">
        <is>
          <t>100R/0603/1%</t>
        </is>
      </c>
      <c r="B22" s="2" t="inlineStr">
        <is>
          <t>R35,R36,R42,R55</t>
        </is>
      </c>
      <c r="C22" s="2" t="inlineStr">
        <is>
          <t>R_0603_1608Metric_Pad0.98x0.95mm_HandSolder</t>
        </is>
      </c>
      <c r="D22" s="2" t="inlineStr">
        <is>
          <t>C22775</t>
        </is>
      </c>
      <c r="E22" s="2" t="n">
        <v>4</v>
      </c>
      <c r="F22" s="12" t="n">
        <v>0.014</v>
      </c>
      <c r="G22" s="13">
        <f>E22*F22</f>
        <v/>
      </c>
      <c r="H22" s="3" t="inlineStr">
        <is>
          <t>https://www.mouser.com/ProductDetail/YAGEO/RC0603FR-07100RL?qs=NEN%2FsE%2FLsvPIwIWKCOS4%2FA%3D%3D</t>
        </is>
      </c>
    </row>
    <row r="23">
      <c r="A23" s="2" t="inlineStr">
        <is>
          <t>330/0603/1%</t>
        </is>
      </c>
      <c r="B23" s="2" t="inlineStr">
        <is>
          <t>R44,R77</t>
        </is>
      </c>
      <c r="C23" s="2" t="inlineStr">
        <is>
          <t>R_0603_1608Metric_Pad0.98x0.95mm_HandSolder</t>
        </is>
      </c>
      <c r="D23" s="2" t="inlineStr">
        <is>
          <t>C23138</t>
        </is>
      </c>
      <c r="E23" s="2" t="n">
        <v>2</v>
      </c>
      <c r="F23" s="12" t="n">
        <v>0.014</v>
      </c>
      <c r="G23" s="13">
        <f>E23*F23</f>
        <v/>
      </c>
      <c r="H23" s="3" t="inlineStr">
        <is>
          <t>https://www.mouser.com/ProductDetail/YAGEO/RC0603FR-07330RL?qs=diQw95jMAeN1335dAOzMfg%3D%3D</t>
        </is>
      </c>
    </row>
    <row r="24">
      <c r="A24" s="2" t="inlineStr">
        <is>
          <t>197K/0603/1%</t>
        </is>
      </c>
      <c r="B24" s="2" t="inlineStr">
        <is>
          <t>R45</t>
        </is>
      </c>
      <c r="C24" s="2" t="inlineStr">
        <is>
          <t>R_0603_1608Metric_Pad0.98x0.95mm_HandSolder</t>
        </is>
      </c>
      <c r="D24" s="2" t="inlineStr">
        <is>
          <t>C4203218</t>
        </is>
      </c>
      <c r="E24" s="2" t="n">
        <v>1</v>
      </c>
      <c r="F24" s="12" t="n">
        <v>0.02</v>
      </c>
      <c r="G24" s="13">
        <f>E24*F24</f>
        <v/>
      </c>
      <c r="H24" s="3" t="inlineStr">
        <is>
          <t>https://www.mouser.com/ProductDetail/Vishay/CRCW0603196KFKEA?qs=F8Fiu5nZiPgRWYxdubnzvQ%3D%3D</t>
        </is>
      </c>
    </row>
    <row r="25">
      <c r="A25" s="2" t="inlineStr">
        <is>
          <t>30K/0603/1%</t>
        </is>
      </c>
      <c r="B25" s="2" t="inlineStr">
        <is>
          <t>R46,R74,R76</t>
        </is>
      </c>
      <c r="C25" s="2" t="inlineStr">
        <is>
          <t>R_0603_1608Metric_Pad0.98x0.95mm_HandSolder</t>
        </is>
      </c>
      <c r="D25" s="2" t="inlineStr">
        <is>
          <t>C22984</t>
        </is>
      </c>
      <c r="E25" s="2" t="n">
        <v>3</v>
      </c>
      <c r="F25" s="12" t="n">
        <v>0.014</v>
      </c>
      <c r="G25" s="13">
        <f>E25*F25</f>
        <v/>
      </c>
      <c r="H25" s="3" t="inlineStr">
        <is>
          <t>https://www.mouser.com/ProductDetail/YAGEO/RC0603FR-0730KL?qs=diQw95jMAeNFr44yr782FQ%3D%3D</t>
        </is>
      </c>
    </row>
    <row r="26">
      <c r="A26" s="2" t="inlineStr">
        <is>
          <t>270K/0603/1%</t>
        </is>
      </c>
      <c r="B26" s="2" t="inlineStr">
        <is>
          <t>R60</t>
        </is>
      </c>
      <c r="C26" s="2" t="inlineStr">
        <is>
          <t>R_0603_1608Metric_Pad0.98x0.95mm_HandSolder</t>
        </is>
      </c>
      <c r="D26" s="2" t="inlineStr">
        <is>
          <t>C22965</t>
        </is>
      </c>
      <c r="E26" s="2" t="n">
        <v>1</v>
      </c>
      <c r="F26" s="12" t="n">
        <v>0.001</v>
      </c>
      <c r="G26" s="13">
        <f>E26*F26</f>
        <v/>
      </c>
      <c r="H26" s="3" t="inlineStr">
        <is>
          <t>https://www.mouser.com/ProductDetail/Royalohm/0603WAF2703T5E?qs=e8oIoAS2J1QsS%2FJYoIXg6Q%3D%3D</t>
        </is>
      </c>
    </row>
    <row r="27">
      <c r="A27" s="2" t="inlineStr">
        <is>
          <t>135K/0603/1%</t>
        </is>
      </c>
      <c r="B27" s="2" t="inlineStr">
        <is>
          <t>R61</t>
        </is>
      </c>
      <c r="C27" s="2" t="inlineStr">
        <is>
          <t>R_0603_1608Metric_Pad0.98x0.95mm_HandSolder</t>
        </is>
      </c>
      <c r="D27" s="2" t="inlineStr">
        <is>
          <t>C861113</t>
        </is>
      </c>
      <c r="E27" s="2" t="n">
        <v>1</v>
      </c>
      <c r="F27" s="12" t="n">
        <v>0.06</v>
      </c>
      <c r="G27" s="13">
        <f>E27*F27</f>
        <v/>
      </c>
      <c r="H27" s="3" t="inlineStr">
        <is>
          <t>https://www.mouser.com/ProductDetail/YAGEO/RT0603BRD07135KL?qs=JBUVnscnTFIetsNEjxHNJQ%3D%3D</t>
        </is>
      </c>
    </row>
    <row r="28">
      <c r="A28" s="2" t="inlineStr">
        <is>
          <t>550/0603/1%</t>
        </is>
      </c>
      <c r="B28" s="2" t="inlineStr">
        <is>
          <t>R73</t>
        </is>
      </c>
      <c r="C28" s="2" t="inlineStr">
        <is>
          <t>R_0603_1608Metric_Pad0.98x0.95mm_HandSolder</t>
        </is>
      </c>
      <c r="D28" s="2" t="inlineStr">
        <is>
          <t>C23079</t>
        </is>
      </c>
      <c r="E28" s="2" t="n">
        <v>1</v>
      </c>
      <c r="F28" s="12" t="n">
        <v>0.014</v>
      </c>
      <c r="G28" s="13">
        <f>E28*F28</f>
        <v/>
      </c>
      <c r="H28" s="3" t="inlineStr">
        <is>
          <t>https://www.mouser.com/ProductDetail/YAGEO/RC0603FR-07549RL?qs=gt6vzsuosg3fZB4W1LlPKg%3D%3D</t>
        </is>
      </c>
    </row>
    <row r="29">
      <c r="A29" s="2" t="inlineStr">
        <is>
          <t>1k/0603/1%</t>
        </is>
      </c>
      <c r="B29" s="2" t="inlineStr">
        <is>
          <t>R75</t>
        </is>
      </c>
      <c r="C29" s="2" t="inlineStr">
        <is>
          <t>R_0603_1608Metric_Pad0.98x0.95mm_HandSolder</t>
        </is>
      </c>
      <c r="D29" s="2" t="inlineStr">
        <is>
          <t>C21190</t>
        </is>
      </c>
      <c r="E29" s="2" t="n">
        <v>1</v>
      </c>
      <c r="F29" s="12" t="n">
        <v>0.001</v>
      </c>
      <c r="G29" s="13">
        <f>E29*F29</f>
        <v/>
      </c>
      <c r="H29" s="3" t="inlineStr">
        <is>
          <t>https://www.mouser.com/ProductDetail/Royalohm/0603WAF1001T5E?qs=e8oIoAS2J1QSdiq0gwpEIg%3D%3D</t>
        </is>
      </c>
    </row>
    <row r="30">
      <c r="A30" s="2" t="inlineStr">
        <is>
          <t>Button 4 leg</t>
        </is>
      </c>
      <c r="B30" s="2" t="inlineStr">
        <is>
          <t>SW1,SW2,SW3,SW4</t>
        </is>
      </c>
      <c r="C30" s="2" t="inlineStr">
        <is>
          <t>SW_Push_1P1T_NO_E-Switch_TL3301NxxxxxG</t>
        </is>
      </c>
      <c r="D30" s="2" t="inlineStr">
        <is>
          <t>C273527</t>
        </is>
      </c>
      <c r="E30" s="2" t="n">
        <v>4</v>
      </c>
      <c r="F30" s="12" t="n">
        <v>0.183</v>
      </c>
      <c r="G30" s="13">
        <f>E30*F30</f>
        <v/>
      </c>
      <c r="H30" s="3" t="inlineStr">
        <is>
          <t>https://www.mouser.com/ProductDetail/E-Switch/TL3301NF160QG?qs=xDsBkp9LkofW6m%2BYTACJPg%3D%3D</t>
        </is>
      </c>
    </row>
    <row r="31">
      <c r="A31" s="2" t="inlineStr">
        <is>
          <t>TPS563203DRLR</t>
        </is>
      </c>
      <c r="B31" s="2" t="inlineStr">
        <is>
          <t>U1,U2,U3</t>
        </is>
      </c>
      <c r="C31" s="2" t="inlineStr">
        <is>
          <t>TPS563203DRLR</t>
        </is>
      </c>
      <c r="D31" s="2" t="inlineStr">
        <is>
          <t>C22445512</t>
        </is>
      </c>
      <c r="E31" s="2" t="n">
        <v>3</v>
      </c>
      <c r="F31" s="12" t="n">
        <v>0.225</v>
      </c>
      <c r="G31" s="13">
        <f>E31*F31</f>
        <v/>
      </c>
      <c r="H31" s="3" t="inlineStr">
        <is>
          <t>https://www.mouser.com/ProductDetail/Texas-Instruments/TPS563203DRLR?qs=dbcCsuKDzFXSWrTv7Y7bjQ%3D%3D</t>
        </is>
      </c>
    </row>
    <row r="32">
      <c r="A32" s="2" t="inlineStr">
        <is>
          <t>TCA9534APWR</t>
        </is>
      </c>
      <c r="B32" s="2" t="inlineStr">
        <is>
          <t>U4</t>
        </is>
      </c>
      <c r="C32" s="2" t="inlineStr">
        <is>
          <t>TCA9534APWR</t>
        </is>
      </c>
      <c r="D32" s="2" t="inlineStr">
        <is>
          <t>C206010</t>
        </is>
      </c>
      <c r="E32" s="2" t="n">
        <v>1</v>
      </c>
      <c r="F32" s="12" t="n">
        <v>1.27</v>
      </c>
      <c r="G32" s="13">
        <f>E32*F32</f>
        <v/>
      </c>
      <c r="H32" s="3" t="inlineStr">
        <is>
          <t>https://www.mouser.com/ProductDetail/Texas-Instruments/TCA9534APWR?qs=asCBFxFfL1RkU8XbvZBOXg%3D%3D</t>
        </is>
      </c>
    </row>
    <row r="33">
      <c r="A33" s="2" t="inlineStr">
        <is>
          <t>MPRLS0025PA00001A</t>
        </is>
      </c>
      <c r="B33" s="2" t="inlineStr">
        <is>
          <t>U5</t>
        </is>
      </c>
      <c r="C33" s="2" t="inlineStr">
        <is>
          <t>MPRLS0025PA00001A</t>
        </is>
      </c>
      <c r="D33" s="2" t="inlineStr">
        <is>
          <t>C3257154</t>
        </is>
      </c>
      <c r="E33" s="2" t="n">
        <v>1</v>
      </c>
      <c r="F33" s="12" t="n">
        <v>15.93</v>
      </c>
      <c r="G33" s="13">
        <f>E33*F33</f>
        <v/>
      </c>
      <c r="H33" s="3" t="inlineStr">
        <is>
          <t>https://www.mouser.com/ProductDetail/Honeywell/MPRLS0025PA00001A?qs=0lQeLiL1qyYP02EvUZH3dw%3D%3D</t>
        </is>
      </c>
    </row>
    <row r="34">
      <c r="A34" s="2" t="inlineStr">
        <is>
          <t>PCA9685PW</t>
        </is>
      </c>
      <c r="B34" s="2" t="inlineStr">
        <is>
          <t>U7</t>
        </is>
      </c>
      <c r="C34" s="2" t="inlineStr">
        <is>
          <t>PCA9685</t>
        </is>
      </c>
      <c r="D34" s="2" t="inlineStr">
        <is>
          <t>C2678753</t>
        </is>
      </c>
      <c r="E34" s="2" t="n">
        <v>1</v>
      </c>
      <c r="F34" s="12" t="n">
        <v>3.445</v>
      </c>
      <c r="G34" s="13">
        <f>E34*F34</f>
        <v/>
      </c>
      <c r="H34" s="3" t="inlineStr">
        <is>
          <t>https://www.digikey.com/en/products/detail/nxp-usa-inc/PCA9685PW-118/5221903</t>
        </is>
      </c>
      <c r="I34" s="3" t="inlineStr">
        <is>
          <t>https://www.mouser.com/ProductDetail/NXP-Semiconductors/PCA9685PW118?qs=6YAT8rHPFU%2BtfwwKq4nwEQ%3D%3D</t>
        </is>
      </c>
    </row>
    <row r="35" customFormat="1" s="11">
      <c r="A35" s="7" t="inlineStr">
        <is>
          <t>ZR370-02PM / 4.5V / 2.5 LPM / ~500 mA</t>
        </is>
      </c>
      <c r="B35" s="7" t="inlineStr">
        <is>
          <t>U8,U11</t>
        </is>
      </c>
      <c r="C35" s="7" t="inlineStr">
        <is>
          <t>PUMP</t>
        </is>
      </c>
      <c r="D35" s="7" t="n"/>
      <c r="E35" s="7" t="n">
        <v>2</v>
      </c>
      <c r="F35" s="14" t="n">
        <v>7.16</v>
      </c>
      <c r="G35" s="15">
        <f>E35*F35</f>
        <v/>
      </c>
      <c r="H35" s="10" t="inlineStr">
        <is>
          <t>https://www.adafruit.com/product/4699</t>
        </is>
      </c>
    </row>
    <row r="36" customFormat="1" s="11">
      <c r="A36" s="7" t="inlineStr">
        <is>
          <t>FA0520E / 6V / 3-port / JST XH</t>
        </is>
      </c>
      <c r="B36" s="7" t="inlineStr">
        <is>
          <t>U9,U10</t>
        </is>
      </c>
      <c r="C36" s="7" t="inlineStr">
        <is>
          <t>VALVE</t>
        </is>
      </c>
      <c r="D36" s="7" t="n"/>
      <c r="E36" s="7" t="n">
        <v>2</v>
      </c>
      <c r="F36" s="14" t="n">
        <v>2.66</v>
      </c>
      <c r="G36" s="15">
        <f>E36*F36</f>
        <v/>
      </c>
      <c r="H36" s="10" t="inlineStr">
        <is>
          <t>https://www.adafruit.com/product/4663</t>
        </is>
      </c>
    </row>
    <row r="37">
      <c r="A37" s="2" t="inlineStr">
        <is>
          <t>2A</t>
        </is>
      </c>
      <c r="B37" s="2" t="inlineStr">
        <is>
          <t>F1</t>
        </is>
      </c>
      <c r="C37" s="2" t="inlineStr">
        <is>
          <t>FUSE</t>
        </is>
      </c>
      <c r="D37" s="2" t="inlineStr">
        <is>
          <t>C53035082</t>
        </is>
      </c>
      <c r="E37" s="2" t="n">
        <v>1</v>
      </c>
      <c r="F37" s="12" t="n">
        <v>1.45</v>
      </c>
      <c r="G37" s="13">
        <f>E37*F37</f>
        <v/>
      </c>
      <c r="H37" s="3" t="inlineStr">
        <is>
          <t>https://www.mouser.com/ProductDetail/Littelfuse/0461002.ER?qs=bpnLQM2ZShwCPg%2BDpPZgdw%3D%3D</t>
        </is>
      </c>
    </row>
    <row r="38">
      <c r="A38" s="2" t="inlineStr">
        <is>
          <t>I2C_5</t>
        </is>
      </c>
      <c r="B38" s="2" t="inlineStr">
        <is>
          <t>J3</t>
        </is>
      </c>
      <c r="C38" s="2" t="inlineStr">
        <is>
          <t>Connector_JST:JST_EH_B4B-EH-A_1x04_P2.50mm_Vertical</t>
        </is>
      </c>
      <c r="D38" s="2" t="inlineStr">
        <is>
          <t>C160258</t>
        </is>
      </c>
      <c r="E38" s="2" t="n">
        <v>1</v>
      </c>
      <c r="F38" s="12" t="n">
        <v>0.139</v>
      </c>
      <c r="G38" s="13">
        <f>E38*F38</f>
        <v/>
      </c>
      <c r="H38" s="3" t="inlineStr">
        <is>
          <t>https://www.digikey.com/en/products/detail/jst-sales-america-inc/B4B-EH-A/758748</t>
        </is>
      </c>
      <c r="I38" s="3" t="inlineStr">
        <is>
          <t>https://www.mouser.com/ProductDetail/JST-Commercial/B4B-EH-ALFSN?qs=cdbOS8ANM9DAINrtzhP3dA%3D%3D</t>
        </is>
      </c>
    </row>
    <row r="39">
      <c r="A39" s="2" t="inlineStr">
        <is>
          <t>PJ-082BH</t>
        </is>
      </c>
      <c r="B39" s="2" t="inlineStr">
        <is>
          <t>J2</t>
        </is>
      </c>
      <c r="C39" s="2" t="inlineStr">
        <is>
          <t>PJ-082BH</t>
        </is>
      </c>
      <c r="D39" s="2" t="inlineStr">
        <is>
          <t>C3094233</t>
        </is>
      </c>
      <c r="E39" s="2" t="n">
        <v>1</v>
      </c>
      <c r="F39" s="12" t="n">
        <v>1.58</v>
      </c>
      <c r="G39" s="13">
        <f>E39*F39</f>
        <v/>
      </c>
      <c r="H39" s="3" t="inlineStr">
        <is>
          <t>https://www.mouser.com/ProductDetail/Same-Sky/PJ-082BH?qs=WyjlAZoYn52P2Lo8hPB1tg%3D%3D</t>
        </is>
      </c>
    </row>
    <row r="40"/>
    <row r="41">
      <c r="E41" s="1" t="inlineStr">
        <is>
          <t>Total</t>
        </is>
      </c>
      <c r="G41" s="16">
        <f>SUM(G2:G39)</f>
        <v/>
      </c>
    </row>
    <row r="42">
      <c r="A42" s="2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I14" r:id="rId14"/>
    <hyperlink xmlns:r="http://schemas.openxmlformats.org/officeDocument/2006/relationships" ref="H15" r:id="rId15"/>
    <hyperlink xmlns:r="http://schemas.openxmlformats.org/officeDocument/2006/relationships" ref="H16" r:id="rId16"/>
    <hyperlink xmlns:r="http://schemas.openxmlformats.org/officeDocument/2006/relationships" ref="H17" r:id="rId17"/>
    <hyperlink xmlns:r="http://schemas.openxmlformats.org/officeDocument/2006/relationships" ref="H18" r:id="rId18"/>
    <hyperlink xmlns:r="http://schemas.openxmlformats.org/officeDocument/2006/relationships" ref="H19" r:id="rId19"/>
    <hyperlink xmlns:r="http://schemas.openxmlformats.org/officeDocument/2006/relationships" ref="H20" r:id="rId20"/>
    <hyperlink xmlns:r="http://schemas.openxmlformats.org/officeDocument/2006/relationships" ref="H21" r:id="rId21"/>
    <hyperlink xmlns:r="http://schemas.openxmlformats.org/officeDocument/2006/relationships" ref="H22" r:id="rId22"/>
    <hyperlink xmlns:r="http://schemas.openxmlformats.org/officeDocument/2006/relationships" ref="H23" r:id="rId23"/>
    <hyperlink xmlns:r="http://schemas.openxmlformats.org/officeDocument/2006/relationships" ref="H24" r:id="rId24"/>
    <hyperlink xmlns:r="http://schemas.openxmlformats.org/officeDocument/2006/relationships" ref="H25" r:id="rId25"/>
    <hyperlink xmlns:r="http://schemas.openxmlformats.org/officeDocument/2006/relationships" ref="H26" r:id="rId26"/>
    <hyperlink xmlns:r="http://schemas.openxmlformats.org/officeDocument/2006/relationships" ref="H27" r:id="rId27"/>
    <hyperlink xmlns:r="http://schemas.openxmlformats.org/officeDocument/2006/relationships" ref="H28" r:id="rId28"/>
    <hyperlink xmlns:r="http://schemas.openxmlformats.org/officeDocument/2006/relationships" ref="H29" r:id="rId29"/>
    <hyperlink xmlns:r="http://schemas.openxmlformats.org/officeDocument/2006/relationships" ref="H30" r:id="rId30"/>
    <hyperlink xmlns:r="http://schemas.openxmlformats.org/officeDocument/2006/relationships" ref="H31" r:id="rId31"/>
    <hyperlink xmlns:r="http://schemas.openxmlformats.org/officeDocument/2006/relationships" ref="H32" r:id="rId32"/>
    <hyperlink xmlns:r="http://schemas.openxmlformats.org/officeDocument/2006/relationships" ref="H33" r:id="rId33"/>
    <hyperlink xmlns:r="http://schemas.openxmlformats.org/officeDocument/2006/relationships" ref="H34" r:id="rId34"/>
    <hyperlink xmlns:r="http://schemas.openxmlformats.org/officeDocument/2006/relationships" ref="I34" r:id="rId35"/>
    <hyperlink xmlns:r="http://schemas.openxmlformats.org/officeDocument/2006/relationships" ref="H35" r:id="rId36"/>
    <hyperlink xmlns:r="http://schemas.openxmlformats.org/officeDocument/2006/relationships" ref="H36" r:id="rId37"/>
    <hyperlink xmlns:r="http://schemas.openxmlformats.org/officeDocument/2006/relationships" ref="H37" r:id="rId38"/>
    <hyperlink xmlns:r="http://schemas.openxmlformats.org/officeDocument/2006/relationships" ref="H38" r:id="rId39"/>
    <hyperlink xmlns:r="http://schemas.openxmlformats.org/officeDocument/2006/relationships" ref="I38" r:id="rId40"/>
    <hyperlink xmlns:r="http://schemas.openxmlformats.org/officeDocument/2006/relationships" ref="H39" r:id="rId4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2026-09-28T14:48:07Z</dcterms:created>
  <dcterms:modified xmlns:dcterms="http://purl.org/dc/terms/" xmlns:xsi="http://www.w3.org/2001/XMLSchema-instance" xsi:type="dcterms:W3CDTF">2026-09-28T20:06:00Z</dcterms:modified>
  <cp:lastModifiedBy>Vuong, Charlie</cp:lastModifiedBy>
</cp:coreProperties>
</file>