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charlievuong/Documents/RheoBoard/RheoBoard_PCB/BOM/"/>
    </mc:Choice>
  </mc:AlternateContent>
  <xr:revisionPtr revIDLastSave="0" documentId="13_ncr:1_{9E8080F7-FB22-B149-8176-81C760A65E08}" xr6:coauthVersionLast="47" xr6:coauthVersionMax="47" xr10:uidLastSave="{00000000-0000-0000-0000-000000000000}"/>
  <bookViews>
    <workbookView xWindow="0" yWindow="660" windowWidth="29400" windowHeight="16440" xr2:uid="{00000000-000D-0000-FFFF-FFFF00000000}"/>
  </bookViews>
  <sheets>
    <sheet name="Sheet1" sheetId="1" r:id="rId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1" l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4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Cursor</author>
  </authors>
  <commentList>
    <comment ref="F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Live supplier pricing checked 2026-09-28. Qty remains the number used on one board; line totals price one board using the 10-piece tier.</t>
        </r>
      </text>
    </comment>
    <comment ref="F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Mouser displayed this 10-piece tier on 2026-09-28, but stock was 0.</t>
        </r>
      </text>
    </comment>
    <comment ref="F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Mouser displayed this 10-piece tier on 2026-09-28, but stock was 0.</t>
        </r>
      </text>
    </comment>
    <comment ref="F14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SparkFun has no quantity-10 discount; ordinary $0.60 unit price shown.</t>
        </r>
      </text>
    </comment>
    <comment ref="F1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Mouser has no 10-piece tier for this Royalohm part; minimum order is 5,000 at $0.001 each. That MOQ unit price is shown.</t>
        </r>
      </text>
    </comment>
    <comment ref="F2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Mouser has no 10-piece tier for this Royalohm part; minimum order is 5,000 at $0.001 each. That MOQ unit price is shown.</t>
        </r>
      </text>
    </comment>
    <comment ref="F2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Mouser has no 10-piece tier for this Royalohm part; minimum order is 5,000 at $0.001 each. That MOQ unit price is shown.</t>
        </r>
      </text>
    </comment>
    <comment ref="F2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Mouser has no 10-piece tier for this Royalohm part; minimum order is 5,000 at $0.001 each. That MOQ unit price is shown.</t>
        </r>
      </text>
    </comment>
    <comment ref="F35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Adafruit 10-99 tier.</t>
        </r>
      </text>
    </comment>
    <comment ref="F36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Adafruit 10-99 tier.</t>
        </r>
      </text>
    </comment>
  </commentList>
</comments>
</file>

<file path=xl/sharedStrings.xml><?xml version="1.0" encoding="utf-8"?>
<sst xmlns="http://schemas.openxmlformats.org/spreadsheetml/2006/main" count="201" uniqueCount="172">
  <si>
    <t>Comment</t>
  </si>
  <si>
    <t>Designator</t>
  </si>
  <si>
    <t>Footprint</t>
  </si>
  <si>
    <t>JLCPCB Part #（optional）</t>
  </si>
  <si>
    <t>Qty</t>
  </si>
  <si>
    <t>Unit price @ 10 pcs (USD)</t>
  </si>
  <si>
    <t>Line total (USD)</t>
  </si>
  <si>
    <t>Link</t>
  </si>
  <si>
    <t>Backup Link</t>
  </si>
  <si>
    <t>10uF/25V/0805/1%</t>
  </si>
  <si>
    <t>C1,C2,C8,C9,C15,C16</t>
  </si>
  <si>
    <t>C_0805_2012Metric_Pad1.18x1.45mm_HandSolder</t>
  </si>
  <si>
    <t>C5448891</t>
  </si>
  <si>
    <t>https://www.mouser.com/ProductDetail/YAGEO/CC0805KKX5R8BB106?qs=57cj7OiSijm89pM64t1AGQ%3D%3D</t>
  </si>
  <si>
    <t>0.1uF/25V/0603/1%</t>
  </si>
  <si>
    <t>C3,C4,C5,C23,C24,C25,C26,C30,C31,C33,C42,C44,C46,C47,C56,C59,C63</t>
  </si>
  <si>
    <t>C_0603_1608Metric_Pad1.08x0.95mm_HandSolder</t>
  </si>
  <si>
    <t>C14663</t>
  </si>
  <si>
    <t>https://www.mouser.com/ProductDetail/YAGEO/CC0603KRX7R9BB104?qs=vTakOoo5QyLvVCYM2ge8LQ%3D%3D</t>
  </si>
  <si>
    <t>10nF/25V/0603/1%</t>
  </si>
  <si>
    <t>C22</t>
  </si>
  <si>
    <t>C57112</t>
  </si>
  <si>
    <t>https://www.mouser.com/ProductDetail/Knowles-Novacap/0603B103K500NT?qs=P%2FxahI%2BVehmDRqlqdBNpcg%3D%3D</t>
  </si>
  <si>
    <t>1nF/25V/0603/1%</t>
  </si>
  <si>
    <t>C27</t>
  </si>
  <si>
    <t>C5360811</t>
  </si>
  <si>
    <t>https://www.mouser.com/ProductDetail/YAGEO/CC0603KRX7R9BB102?qs=AgBp2OyFlx%2F%2Fw3f5uZqSVQ%3D%3D</t>
  </si>
  <si>
    <t>10uF/25V/0603/1%</t>
  </si>
  <si>
    <t>C28,C29</t>
  </si>
  <si>
    <t>C7393892</t>
  </si>
  <si>
    <t>https://www.mouser.com/ProductDetail/Murata-Electronics/GRM188R61E106MA73D?qs=PoXZt%2B2CjACpktoD15Kv0Q%3D%3D</t>
  </si>
  <si>
    <t>100uF/16V</t>
  </si>
  <si>
    <t>C32,C34,C43,C45</t>
  </si>
  <si>
    <t>CP_Elec_6.3x5.4_Nichicon</t>
  </si>
  <si>
    <t>C128532</t>
  </si>
  <si>
    <t>https://www.mouser.com/ProductDetail/Panasonic-Industry/EEE-FK1C101P?qs=qE6bgDGEOCuSC5c%2BLSbo8Q%3D%3D</t>
  </si>
  <si>
    <t>22uF/25V/0805/1%</t>
  </si>
  <si>
    <t>C52,C53,C54,C57,C60,C61</t>
  </si>
  <si>
    <t>C20416420</t>
  </si>
  <si>
    <t>https://www.mouser.com/ProductDetail/Murata-Electronics/GRM21BR61E226ME44K?qs=hNud%2FORuBR25jDsUehWlrQ%3D%3D</t>
  </si>
  <si>
    <t>18pF/25V/0603/1%/C0G/NP0</t>
  </si>
  <si>
    <t>C55,C58,C62</t>
  </si>
  <si>
    <t>C2169079</t>
  </si>
  <si>
    <t>https://www.mouser.com/ProductDetail/YAGEO/CC0603JRNPO9BN180?qs=vTakOoo5QyKBbsg9i%2BJDzw%3D%3D</t>
  </si>
  <si>
    <t>SS54</t>
  </si>
  <si>
    <t>D1</t>
  </si>
  <si>
    <t>C20609300</t>
  </si>
  <si>
    <t>https://www.mouser.com/ProductDetail/Diodes-Incorporated/B540C-13-F?qs=v2dnQLbuoRZXHN%2FK4ft5%2Bg%3D%3D</t>
  </si>
  <si>
    <t>LED_Red</t>
  </si>
  <si>
    <t>D6,D7,D8,D13,D14,D15,D17,D19</t>
  </si>
  <si>
    <t>LED_0603_1608Metric_Pad1.05x0.95mm_HandSolder</t>
  </si>
  <si>
    <t>C434419</t>
  </si>
  <si>
    <t>https://www.mouser.com/ProductDetail/LITEON/LTST-C190KRKT?qs=kAD5fFa1n5VY3YYNWPC1Fg%3D%3D</t>
  </si>
  <si>
    <t>SS34</t>
  </si>
  <si>
    <t>D11,D12,D16,D18</t>
  </si>
  <si>
    <t>C115205</t>
  </si>
  <si>
    <t>https://www.mouser.com/ProductDetail/onsemi/MBRS340T3G?qs=3JMERSakeboCr3wxBgfY3w%3D%3D</t>
  </si>
  <si>
    <t>D33,D34,D35</t>
  </si>
  <si>
    <t>LED_0603_1608Metric</t>
  </si>
  <si>
    <t>Qwiic (black)</t>
  </si>
  <si>
    <t>J1,J9,J12,J17</t>
  </si>
  <si>
    <t>JST_SH_SM04B-SRSS-TB_1x04-1MP_P1.00mm_Horizontal</t>
  </si>
  <si>
    <t>C160404</t>
  </si>
  <si>
    <t>https://www.sparkfun.com/qwiic-jst-connector-smd-4-pin-horizontal.html</t>
  </si>
  <si>
    <t>https://www.mouser.com/ProductDetail/JST-Commercial/SM04B-SRSS-TBLFSN?qs=cdbOS8ANM9B3FdyA6cNU2A%3D%3D</t>
  </si>
  <si>
    <t>4.7uH/4A</t>
  </si>
  <si>
    <t>L1,L2,L5</t>
  </si>
  <si>
    <t>4.7uH_2A</t>
  </si>
  <si>
    <t>C177246</t>
  </si>
  <si>
    <t>https://www.mouser.com/ProductDetail/Bourns/SRP5030TA-4R7M?qs=ZwKJWZfDtNio1N7LHs0tpQ%3D%3D</t>
  </si>
  <si>
    <t>AO3400A</t>
  </si>
  <si>
    <t>Q3,Q4,Q8,Q10</t>
  </si>
  <si>
    <t>C20917</t>
  </si>
  <si>
    <t>https://www.digikey.com/en/products/detail/alpha-omega-semiconductor-inc/AO3400A/1856105</t>
  </si>
  <si>
    <t>100K/0603/1%</t>
  </si>
  <si>
    <t>R1,R4,R7</t>
  </si>
  <si>
    <t>R_0603_1608Metric_Pad0.98x0.95mm_HandSolder</t>
  </si>
  <si>
    <t>C25803</t>
  </si>
  <si>
    <t>https://www.mouser.com/ProductDetail/YAGEO/RC0603FR-07100KL?qs=e1ok2LiJcmaihem8Va5%2Fsw%3D%3D</t>
  </si>
  <si>
    <t>2K2/0603/1%</t>
  </si>
  <si>
    <t>R10</t>
  </si>
  <si>
    <t>C4190</t>
  </si>
  <si>
    <t>https://www.mouser.com/ProductDetail/YAGEO/RC0603FR-072K2L?qs=diQw95jMAeOQmNpe2MM%2BPw%3D%3D</t>
  </si>
  <si>
    <t>4K7/0603/1%</t>
  </si>
  <si>
    <t>R11,R15,R20</t>
  </si>
  <si>
    <t>C23162</t>
  </si>
  <si>
    <t>https://www.mouser.com/ProductDetail/Royalohm/0603WAF4701T5E?qs=e8oIoAS2J1TMXaPvgUFn6Q%3D%3D</t>
  </si>
  <si>
    <t>10K/0603/1%</t>
  </si>
  <si>
    <t>R13,R14,R16,R17,R18,R19,R22,R23,R29,R30,R31,R32,R33,R34,R37,R38,R51,R56</t>
  </si>
  <si>
    <t>C25804</t>
  </si>
  <si>
    <t>https://www.mouser.com/ProductDetail/YAGEO/RC0603FR-0710KL?qs=grNVn54RoB%2B3GtjbJj3wJQ%3D%3D</t>
  </si>
  <si>
    <t>1K/0603/1%</t>
  </si>
  <si>
    <t>R24,R25,R26,R39,R40,R54,R59</t>
  </si>
  <si>
    <t>C21190</t>
  </si>
  <si>
    <t>https://www.mouser.com/ProductDetail/Royalohm/0603WAF1001T5E?qs=e8oIoAS2J1QSdiq0gwpEIg%3D%3D</t>
  </si>
  <si>
    <t>100R/0603/1%</t>
  </si>
  <si>
    <t>R35,R36,R42,R55</t>
  </si>
  <si>
    <t>C22775</t>
  </si>
  <si>
    <t>https://www.mouser.com/ProductDetail/YAGEO/RC0603FR-07100RL?qs=NEN%2FsE%2FLsvPIwIWKCOS4%2FA%3D%3D</t>
  </si>
  <si>
    <t>330/0603/1%</t>
  </si>
  <si>
    <t>R44,R77</t>
  </si>
  <si>
    <t>C23138</t>
  </si>
  <si>
    <t>https://www.mouser.com/ProductDetail/YAGEO/RC0603FR-07330RL?qs=diQw95jMAeN1335dAOzMfg%3D%3D</t>
  </si>
  <si>
    <t>197K/0603/1%</t>
  </si>
  <si>
    <t>R45</t>
  </si>
  <si>
    <t>C4203218</t>
  </si>
  <si>
    <t>https://www.mouser.com/ProductDetail/Vishay/CRCW0603196KFKEA?qs=F8Fiu5nZiPgRWYxdubnzvQ%3D%3D</t>
  </si>
  <si>
    <t>30K/0603/1%</t>
  </si>
  <si>
    <t>R46,R74,R76</t>
  </si>
  <si>
    <t>C22984</t>
  </si>
  <si>
    <t>https://www.mouser.com/ProductDetail/YAGEO/RC0603FR-0730KL?qs=diQw95jMAeNFr44yr782FQ%3D%3D</t>
  </si>
  <si>
    <t>270K/0603/1%</t>
  </si>
  <si>
    <t>R60</t>
  </si>
  <si>
    <t>C22965</t>
  </si>
  <si>
    <t>https://www.mouser.com/ProductDetail/Royalohm/0603WAF2703T5E?qs=e8oIoAS2J1QsS%2FJYoIXg6Q%3D%3D</t>
  </si>
  <si>
    <t>135K/0603/1%</t>
  </si>
  <si>
    <t>R61</t>
  </si>
  <si>
    <t>C861113</t>
  </si>
  <si>
    <t>https://www.mouser.com/ProductDetail/YAGEO/RT0603BRD07135KL?qs=JBUVnscnTFIetsNEjxHNJQ%3D%3D</t>
  </si>
  <si>
    <t>550/0603/1%</t>
  </si>
  <si>
    <t>R73</t>
  </si>
  <si>
    <t>C23079</t>
  </si>
  <si>
    <t>https://www.mouser.com/ProductDetail/YAGEO/RC0603FR-07549RL?qs=gt6vzsuosg3fZB4W1LlPKg%3D%3D</t>
  </si>
  <si>
    <t>1k/0603/1%</t>
  </si>
  <si>
    <t>R75</t>
  </si>
  <si>
    <t>Button 4 leg</t>
  </si>
  <si>
    <t>SW1,SW2,SW3,SW4</t>
  </si>
  <si>
    <t>SW_Push_1P1T_NO_E-Switch_TL3301NxxxxxG</t>
  </si>
  <si>
    <t>C273527</t>
  </si>
  <si>
    <t>https://www.mouser.com/ProductDetail/E-Switch/TL3301NF160QG?qs=xDsBkp9LkofW6m%2BYTACJPg%3D%3D</t>
  </si>
  <si>
    <t>TPS563203DRLR</t>
  </si>
  <si>
    <t>U1,U2,U3</t>
  </si>
  <si>
    <t>C22445512</t>
  </si>
  <si>
    <t>https://www.mouser.com/ProductDetail/Texas-Instruments/TPS563203DRLR?qs=dbcCsuKDzFXSWrTv7Y7bjQ%3D%3D</t>
  </si>
  <si>
    <t>TCA9534APWR</t>
  </si>
  <si>
    <t>U4</t>
  </si>
  <si>
    <t>C206010</t>
  </si>
  <si>
    <t>https://www.mouser.com/ProductDetail/Texas-Instruments/TCA9534APWR?qs=asCBFxFfL1RkU8XbvZBOXg%3D%3D</t>
  </si>
  <si>
    <t>MPRLS0025PA00001A</t>
  </si>
  <si>
    <t>U5</t>
  </si>
  <si>
    <t>C3257154</t>
  </si>
  <si>
    <t>https://www.mouser.com/ProductDetail/Honeywell/MPRLS0025PA00001A?qs=0lQeLiL1qyYP02EvUZH3dw%3D%3D</t>
  </si>
  <si>
    <t>PCA9685PW</t>
  </si>
  <si>
    <t>U7</t>
  </si>
  <si>
    <t>PCA9685</t>
  </si>
  <si>
    <t>C2678753</t>
  </si>
  <si>
    <t>https://www.digikey.com/en/products/detail/nxp-usa-inc/PCA9685PW-118/5221903</t>
  </si>
  <si>
    <t>https://www.mouser.com/ProductDetail/NXP-Semiconductors/PCA9685PW118?qs=6YAT8rHPFU%2BtfwwKq4nwEQ%3D%3D</t>
  </si>
  <si>
    <t>ZR370-02PM / 4.5V / 2.5 LPM / ~500 mA</t>
  </si>
  <si>
    <t>U8,U11</t>
  </si>
  <si>
    <t>PUMP</t>
  </si>
  <si>
    <t>https://www.adafruit.com/product/4699</t>
  </si>
  <si>
    <t>FA0520E / 6V / 3-port / JST XH</t>
  </si>
  <si>
    <t>U9,U10</t>
  </si>
  <si>
    <t>VALVE</t>
  </si>
  <si>
    <t>https://www.adafruit.com/product/4663</t>
  </si>
  <si>
    <t>2A</t>
  </si>
  <si>
    <t>F1</t>
  </si>
  <si>
    <t>FUSE</t>
  </si>
  <si>
    <t>C53035082</t>
  </si>
  <si>
    <t>https://www.mouser.com/ProductDetail/Littelfuse/0461002.ER?qs=bpnLQM2ZShwCPg%2BDpPZgdw%3D%3D</t>
  </si>
  <si>
    <t>I2C_5</t>
  </si>
  <si>
    <t>J3</t>
  </si>
  <si>
    <t>Connector_JST:JST_EH_B4B-EH-A_1x04_P2.50mm_Vertical</t>
  </si>
  <si>
    <t>C160258</t>
  </si>
  <si>
    <t>https://www.digikey.com/en/products/detail/jst-sales-america-inc/B4B-EH-A/758748</t>
  </si>
  <si>
    <t>https://www.mouser.com/ProductDetail/JST-Commercial/B4B-EH-ALFSN?qs=cdbOS8ANM9DAINrtzhP3dA%3D%3D</t>
  </si>
  <si>
    <t>PJ-082BH</t>
  </si>
  <si>
    <t>J2</t>
  </si>
  <si>
    <t>C3094233</t>
  </si>
  <si>
    <t>https://www.mouser.com/ProductDetail/Same-Sky/PJ-082BH?qs=WyjlAZoYn52P2Lo8hPB1tg%3D%3D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</si>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</sst>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&quot;$&quot;#,##0.00"/>
    <numFmt numFmtId="166" formatCode="\$0.0000"/>
    <numFmt numFmtId="167" formatCode="\$0.00"/>
  </numFmts>
  <fonts count="4" x14ac:knownFonts="1">
    <font>
      <sz val="11"/>
      <color theme="1"/>
      <name val="Calibri"/>
      <family val="2"/>
      <scheme val="minor"/>
    </font>
    <font>
      <b/>
      <sz val="11"/>
      <name val="Times New Roman"/>
    </font>
    <font>
      <sz val="11"/>
      <name val="Times New Roman"/>
    </font>
    <font>
      <u/>
      <sz val="11"/>
      <color rgb="FF0563C1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5" fontId="1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0" fontId="2" fillId="2" borderId="0" xfId="0" applyFont="1" applyFill="1"/>
    <xf numFmtId="166" fontId="2" fillId="2" borderId="0" xfId="0" applyNumberFormat="1" applyFont="1" applyFill="1"/>
    <xf numFmtId="167" fontId="2" fillId="2" borderId="0" xfId="0" applyNumberFormat="1" applyFont="1" applyFill="1"/>
    <xf numFmtId="0" fontId="3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parkfun.com/qwiic-jst-connector-smd-4-pin-horizontal.html" TargetMode="External"/><Relationship Id="rId18" Type="http://schemas.openxmlformats.org/officeDocument/2006/relationships/hyperlink" Target="https://www.mouser.com/ProductDetail/YAGEO/RC0603FR-072K2L?qs=diQw95jMAeOQmNpe2MM%2BPw%3D%3D" TargetMode="External"/><Relationship Id="rId26" Type="http://schemas.openxmlformats.org/officeDocument/2006/relationships/hyperlink" Target="https://www.mouser.com/ProductDetail/Royalohm/0603WAF2703T5E?qs=e8oIoAS2J1QsS%2FJYoIXg6Q%3D%3D" TargetMode="External"/><Relationship Id="rId39" Type="http://schemas.openxmlformats.org/officeDocument/2006/relationships/hyperlink" Target="https://www.digikey.com/en/products/detail/jst-sales-america-inc/B4B-EH-A/758748" TargetMode="External"/><Relationship Id="rId21" Type="http://schemas.openxmlformats.org/officeDocument/2006/relationships/hyperlink" Target="https://www.mouser.com/ProductDetail/Royalohm/0603WAF1001T5E?qs=e8oIoAS2J1QSdiq0gwpEIg%3D%3D" TargetMode="External"/><Relationship Id="rId34" Type="http://schemas.openxmlformats.org/officeDocument/2006/relationships/hyperlink" Target="https://www.digikey.com/en/products/detail/nxp-usa-inc/PCA9685PW-118/5221903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mouser.com/ProductDetail/Murata-Electronics/GRM21BR61E226ME44K?qs=hNud%2FORuBR25jDsUehWlrQ%3D%3D" TargetMode="External"/><Relationship Id="rId2" Type="http://schemas.openxmlformats.org/officeDocument/2006/relationships/hyperlink" Target="https://www.mouser.com/ProductDetail/YAGEO/CC0603KRX7R9BB104?qs=vTakOoo5QyLvVCYM2ge8LQ%3D%3D" TargetMode="External"/><Relationship Id="rId16" Type="http://schemas.openxmlformats.org/officeDocument/2006/relationships/hyperlink" Target="https://www.digikey.com/en/products/detail/alpha-omega-semiconductor-inc/AO3400A/1856105" TargetMode="External"/><Relationship Id="rId20" Type="http://schemas.openxmlformats.org/officeDocument/2006/relationships/hyperlink" Target="https://www.mouser.com/ProductDetail/YAGEO/RC0603FR-0710KL?qs=grNVn54RoB%2B3GtjbJj3wJQ%3D%3D" TargetMode="External"/><Relationship Id="rId29" Type="http://schemas.openxmlformats.org/officeDocument/2006/relationships/hyperlink" Target="https://www.mouser.com/ProductDetail/Royalohm/0603WAF1001T5E?qs=e8oIoAS2J1QSdiq0gwpEIg%3D%3D" TargetMode="External"/><Relationship Id="rId41" Type="http://schemas.openxmlformats.org/officeDocument/2006/relationships/hyperlink" Target="https://www.mouser.com/ProductDetail/Same-Sky/PJ-082BH?qs=WyjlAZoYn52P2Lo8hPB1tg%3D%3D" TargetMode="External"/><Relationship Id="rId1" Type="http://schemas.openxmlformats.org/officeDocument/2006/relationships/hyperlink" Target="https://www.mouser.com/ProductDetail/YAGEO/CC0805KKX5R8BB106?qs=57cj7OiSijm89pM64t1AGQ%3D%3D" TargetMode="External"/><Relationship Id="rId6" Type="http://schemas.openxmlformats.org/officeDocument/2006/relationships/hyperlink" Target="https://www.mouser.com/ProductDetail/Panasonic-Industry/EEE-FK1C101P?qs=qE6bgDGEOCuSC5c%2BLSbo8Q%3D%3D" TargetMode="External"/><Relationship Id="rId11" Type="http://schemas.openxmlformats.org/officeDocument/2006/relationships/hyperlink" Target="https://www.mouser.com/ProductDetail/onsemi/MBRS340T3G?qs=3JMERSakeboCr3wxBgfY3w%3D%3D" TargetMode="External"/><Relationship Id="rId24" Type="http://schemas.openxmlformats.org/officeDocument/2006/relationships/hyperlink" Target="https://www.mouser.com/ProductDetail/Vishay/CRCW0603196KFKEA?qs=F8Fiu5nZiPgRWYxdubnzvQ%3D%3D" TargetMode="External"/><Relationship Id="rId32" Type="http://schemas.openxmlformats.org/officeDocument/2006/relationships/hyperlink" Target="https://www.mouser.com/ProductDetail/Texas-Instruments/TCA9534APWR?qs=asCBFxFfL1RkU8XbvZBOXg%3D%3D" TargetMode="External"/><Relationship Id="rId37" Type="http://schemas.openxmlformats.org/officeDocument/2006/relationships/hyperlink" Target="https://www.adafruit.com/product/4663" TargetMode="External"/><Relationship Id="rId40" Type="http://schemas.openxmlformats.org/officeDocument/2006/relationships/hyperlink" Target="https://www.mouser.com/ProductDetail/JST-Commercial/B4B-EH-ALFSN?qs=cdbOS8ANM9DAINrtzhP3dA%3D%3D" TargetMode="External"/><Relationship Id="rId5" Type="http://schemas.openxmlformats.org/officeDocument/2006/relationships/hyperlink" Target="https://www.mouser.com/ProductDetail/Murata-Electronics/GRM188R61E106MA73D?qs=PoXZt%2B2CjACpktoD15Kv0Q%3D%3D" TargetMode="External"/><Relationship Id="rId15" Type="http://schemas.openxmlformats.org/officeDocument/2006/relationships/hyperlink" Target="https://www.mouser.com/ProductDetail/Bourns/SRP5030TA-4R7M?qs=ZwKJWZfDtNio1N7LHs0tpQ%3D%3D" TargetMode="External"/><Relationship Id="rId23" Type="http://schemas.openxmlformats.org/officeDocument/2006/relationships/hyperlink" Target="https://www.mouser.com/ProductDetail/YAGEO/RC0603FR-07330RL?qs=diQw95jMAeN1335dAOzMfg%3D%3D" TargetMode="External"/><Relationship Id="rId28" Type="http://schemas.openxmlformats.org/officeDocument/2006/relationships/hyperlink" Target="https://www.mouser.com/ProductDetail/YAGEO/RC0603FR-07549RL?qs=gt6vzsuosg3fZB4W1LlPKg%3D%3D" TargetMode="External"/><Relationship Id="rId36" Type="http://schemas.openxmlformats.org/officeDocument/2006/relationships/hyperlink" Target="https://www.adafruit.com/product/4699" TargetMode="External"/><Relationship Id="rId10" Type="http://schemas.openxmlformats.org/officeDocument/2006/relationships/hyperlink" Target="https://www.mouser.com/ProductDetail/LITEON/LTST-C190KRKT?qs=kAD5fFa1n5VY3YYNWPC1Fg%3D%3D" TargetMode="External"/><Relationship Id="rId19" Type="http://schemas.openxmlformats.org/officeDocument/2006/relationships/hyperlink" Target="https://www.mouser.com/ProductDetail/Royalohm/0603WAF4701T5E?qs=e8oIoAS2J1TMXaPvgUFn6Q%3D%3D" TargetMode="External"/><Relationship Id="rId31" Type="http://schemas.openxmlformats.org/officeDocument/2006/relationships/hyperlink" Target="https://www.mouser.com/ProductDetail/Texas-Instruments/TPS563203DRLR?qs=dbcCsuKDzFXSWrTv7Y7bjQ%3D%3D" TargetMode="External"/><Relationship Id="rId4" Type="http://schemas.openxmlformats.org/officeDocument/2006/relationships/hyperlink" Target="https://www.mouser.com/ProductDetail/YAGEO/CC0603KRX7R9BB102?qs=AgBp2OyFlx%2F%2Fw3f5uZqSVQ%3D%3D" TargetMode="External"/><Relationship Id="rId9" Type="http://schemas.openxmlformats.org/officeDocument/2006/relationships/hyperlink" Target="https://www.mouser.com/ProductDetail/Diodes-Incorporated/B540C-13-F?qs=v2dnQLbuoRZXHN%2FK4ft5%2Bg%3D%3D" TargetMode="External"/><Relationship Id="rId14" Type="http://schemas.openxmlformats.org/officeDocument/2006/relationships/hyperlink" Target="https://www.mouser.com/ProductDetail/JST-Commercial/SM04B-SRSS-TBLFSN?qs=cdbOS8ANM9B3FdyA6cNU2A%3D%3D" TargetMode="External"/><Relationship Id="rId22" Type="http://schemas.openxmlformats.org/officeDocument/2006/relationships/hyperlink" Target="https://www.mouser.com/ProductDetail/YAGEO/RC0603FR-07100RL?qs=NEN%2FsE%2FLsvPIwIWKCOS4%2FA%3D%3D" TargetMode="External"/><Relationship Id="rId27" Type="http://schemas.openxmlformats.org/officeDocument/2006/relationships/hyperlink" Target="https://www.mouser.com/ProductDetail/YAGEO/RT0603BRD07135KL?qs=JBUVnscnTFIetsNEjxHNJQ%3D%3D" TargetMode="External"/><Relationship Id="rId30" Type="http://schemas.openxmlformats.org/officeDocument/2006/relationships/hyperlink" Target="https://www.mouser.com/ProductDetail/E-Switch/TL3301NF160QG?qs=xDsBkp9LkofW6m%2BYTACJPg%3D%3D" TargetMode="External"/><Relationship Id="rId35" Type="http://schemas.openxmlformats.org/officeDocument/2006/relationships/hyperlink" Target="https://www.mouser.com/ProductDetail/NXP-Semiconductors/PCA9685PW118?qs=6YAT8rHPFU%2BtfwwKq4nwEQ%3D%3D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mouser.com/ProductDetail/YAGEO/CC0603JRNPO9BN180?qs=vTakOoo5QyKBbsg9i%2BJDzw%3D%3D" TargetMode="External"/><Relationship Id="rId3" Type="http://schemas.openxmlformats.org/officeDocument/2006/relationships/hyperlink" Target="https://www.mouser.com/ProductDetail/Knowles-Novacap/0603B103K500NT?qs=P%2FxahI%2BVehmDRqlqdBNpcg%3D%3D" TargetMode="External"/><Relationship Id="rId12" Type="http://schemas.openxmlformats.org/officeDocument/2006/relationships/hyperlink" Target="https://www.mouser.com/ProductDetail/LITEON/LTST-C190KRKT?qs=kAD5fFa1n5VY3YYNWPC1Fg%3D%3D" TargetMode="External"/><Relationship Id="rId17" Type="http://schemas.openxmlformats.org/officeDocument/2006/relationships/hyperlink" Target="https://www.mouser.com/ProductDetail/YAGEO/RC0603FR-07100KL?qs=e1ok2LiJcmaihem8Va5%2Fsw%3D%3D" TargetMode="External"/><Relationship Id="rId25" Type="http://schemas.openxmlformats.org/officeDocument/2006/relationships/hyperlink" Target="https://www.mouser.com/ProductDetail/YAGEO/RC0603FR-0730KL?qs=diQw95jMAeNFr44yr782FQ%3D%3D" TargetMode="External"/><Relationship Id="rId33" Type="http://schemas.openxmlformats.org/officeDocument/2006/relationships/hyperlink" Target="https://www.mouser.com/ProductDetail/Honeywell/MPRLS0025PA00001A?qs=0lQeLiL1qyYP02EvUZH3dw%3D%3D" TargetMode="External"/><Relationship Id="rId38" Type="http://schemas.openxmlformats.org/officeDocument/2006/relationships/hyperlink" Target="https://www.mouser.com/ProductDetail/Littelfuse/0461002.ER?qs=bpnLQM2ZShwCPg%2BDpPZgd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tabSelected="1" topLeftCell="A10" workbookViewId="0">
      <selection activeCell="B44" sqref="B44"/>
    </sheetView>
  </sheetViews>
  <sheetFormatPr baseColWidth="10" defaultColWidth="8.83203125" defaultRowHeight="15" x14ac:dyDescent="0.2"/>
  <cols>
    <col min="1" max="1" width="46" customWidth="1"/>
    <col min="2" max="2" width="60" customWidth="1"/>
    <col min="3" max="3" width="62" customWidth="1"/>
    <col min="4" max="4" width="28" customWidth="1"/>
    <col min="5" max="5" width="8" customWidth="1"/>
    <col min="6" max="6" width="18" customWidth="1"/>
    <col min="7" max="7" width="16" customWidth="1"/>
    <col min="8" max="9" width="78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s="2" t="s">
        <v>9</v>
      </c>
      <c r="B2" s="2" t="s">
        <v>10</v>
      </c>
      <c r="C2" s="2" t="s">
        <v>11</v>
      </c>
      <c r="D2" s="2" t="s">
        <v>12</v>
      </c>
      <c r="E2" s="2">
        <v>6</v>
      </c>
      <c r="F2" s="5">
        <v>0.25600000000000001</v>
      </c>
      <c r="G2" s="6">
        <f t="shared" ref="G2:G39" si="0">E2*F2</f>
        <v>1.536</v>
      </c>
      <c r="H2" s="3" t="s">
        <v>13</v>
      </c>
    </row>
    <row r="3" spans="1:9" x14ac:dyDescent="0.2">
      <c r="A3" s="2" t="s">
        <v>14</v>
      </c>
      <c r="B3" s="2" t="s">
        <v>15</v>
      </c>
      <c r="C3" s="2" t="s">
        <v>16</v>
      </c>
      <c r="D3" s="2" t="s">
        <v>17</v>
      </c>
      <c r="E3" s="2">
        <v>17</v>
      </c>
      <c r="F3" s="5">
        <v>7.2999999999999995E-2</v>
      </c>
      <c r="G3" s="6">
        <f t="shared" si="0"/>
        <v>1.2409999999999999</v>
      </c>
      <c r="H3" s="3" t="s">
        <v>18</v>
      </c>
    </row>
    <row r="4" spans="1:9" x14ac:dyDescent="0.2">
      <c r="A4" s="2" t="s">
        <v>19</v>
      </c>
      <c r="B4" s="2" t="s">
        <v>20</v>
      </c>
      <c r="C4" s="2" t="s">
        <v>16</v>
      </c>
      <c r="D4" s="2" t="s">
        <v>21</v>
      </c>
      <c r="E4" s="2">
        <v>1</v>
      </c>
      <c r="F4" s="5">
        <v>0.92</v>
      </c>
      <c r="G4" s="6">
        <f t="shared" si="0"/>
        <v>0.92</v>
      </c>
      <c r="H4" s="3" t="s">
        <v>22</v>
      </c>
    </row>
    <row r="5" spans="1:9" x14ac:dyDescent="0.2">
      <c r="A5" s="2" t="s">
        <v>23</v>
      </c>
      <c r="B5" s="2" t="s">
        <v>24</v>
      </c>
      <c r="C5" s="2" t="s">
        <v>16</v>
      </c>
      <c r="D5" s="2" t="s">
        <v>25</v>
      </c>
      <c r="E5" s="2">
        <v>1</v>
      </c>
      <c r="F5" s="5">
        <v>5.1999999999999998E-2</v>
      </c>
      <c r="G5" s="6">
        <f t="shared" si="0"/>
        <v>5.1999999999999998E-2</v>
      </c>
      <c r="H5" s="3" t="s">
        <v>26</v>
      </c>
    </row>
    <row r="6" spans="1:9" x14ac:dyDescent="0.2">
      <c r="A6" s="2" t="s">
        <v>27</v>
      </c>
      <c r="B6" s="2" t="s">
        <v>28</v>
      </c>
      <c r="C6" s="2" t="s">
        <v>16</v>
      </c>
      <c r="D6" s="2" t="s">
        <v>29</v>
      </c>
      <c r="E6" s="2">
        <v>2</v>
      </c>
      <c r="F6" s="5">
        <v>0.16500000000000001</v>
      </c>
      <c r="G6" s="6">
        <f t="shared" si="0"/>
        <v>0.33</v>
      </c>
      <c r="H6" s="3" t="s">
        <v>30</v>
      </c>
    </row>
    <row r="7" spans="1:9" x14ac:dyDescent="0.2">
      <c r="A7" s="2" t="s">
        <v>31</v>
      </c>
      <c r="B7" s="2" t="s">
        <v>32</v>
      </c>
      <c r="C7" s="2" t="s">
        <v>33</v>
      </c>
      <c r="D7" s="2" t="s">
        <v>34</v>
      </c>
      <c r="E7" s="2">
        <v>4</v>
      </c>
      <c r="F7" s="5">
        <v>0.28299999999999997</v>
      </c>
      <c r="G7" s="6">
        <f t="shared" si="0"/>
        <v>1.1319999999999999</v>
      </c>
      <c r="H7" s="3" t="s">
        <v>35</v>
      </c>
    </row>
    <row r="8" spans="1:9" x14ac:dyDescent="0.2">
      <c r="A8" s="2" t="s">
        <v>36</v>
      </c>
      <c r="B8" s="2" t="s">
        <v>37</v>
      </c>
      <c r="C8" s="2" t="s">
        <v>11</v>
      </c>
      <c r="D8" s="2" t="s">
        <v>38</v>
      </c>
      <c r="E8" s="2">
        <v>6</v>
      </c>
      <c r="F8" s="5">
        <v>0.216</v>
      </c>
      <c r="G8" s="6">
        <f t="shared" si="0"/>
        <v>1.296</v>
      </c>
      <c r="H8" s="3" t="s">
        <v>39</v>
      </c>
    </row>
    <row r="9" spans="1:9" x14ac:dyDescent="0.2">
      <c r="A9" s="2" t="s">
        <v>40</v>
      </c>
      <c r="B9" s="2" t="s">
        <v>41</v>
      </c>
      <c r="C9" s="2" t="s">
        <v>16</v>
      </c>
      <c r="D9" s="2" t="s">
        <v>42</v>
      </c>
      <c r="E9" s="2">
        <v>3</v>
      </c>
      <c r="F9" s="5">
        <v>4.2999999999999997E-2</v>
      </c>
      <c r="G9" s="6">
        <f t="shared" si="0"/>
        <v>0.129</v>
      </c>
      <c r="H9" s="3" t="s">
        <v>43</v>
      </c>
    </row>
    <row r="10" spans="1:9" x14ac:dyDescent="0.2">
      <c r="A10" s="2" t="s">
        <v>44</v>
      </c>
      <c r="B10" s="2" t="s">
        <v>45</v>
      </c>
      <c r="C10" s="2" t="s">
        <v>44</v>
      </c>
      <c r="D10" s="2" t="s">
        <v>46</v>
      </c>
      <c r="E10" s="2">
        <v>1</v>
      </c>
      <c r="F10" s="5">
        <v>0.438</v>
      </c>
      <c r="G10" s="6">
        <f t="shared" si="0"/>
        <v>0.438</v>
      </c>
      <c r="H10" s="3" t="s">
        <v>47</v>
      </c>
    </row>
    <row r="11" spans="1:9" x14ac:dyDescent="0.2">
      <c r="A11" s="2" t="s">
        <v>48</v>
      </c>
      <c r="B11" s="2" t="s">
        <v>49</v>
      </c>
      <c r="C11" s="2" t="s">
        <v>50</v>
      </c>
      <c r="D11" s="2" t="s">
        <v>51</v>
      </c>
      <c r="E11" s="2">
        <v>8</v>
      </c>
      <c r="F11" s="5">
        <v>9.8000000000000004E-2</v>
      </c>
      <c r="G11" s="6">
        <f t="shared" si="0"/>
        <v>0.78400000000000003</v>
      </c>
      <c r="H11" s="3" t="s">
        <v>52</v>
      </c>
    </row>
    <row r="12" spans="1:9" x14ac:dyDescent="0.2">
      <c r="A12" s="2" t="s">
        <v>53</v>
      </c>
      <c r="B12" s="2" t="s">
        <v>54</v>
      </c>
      <c r="C12" s="2" t="s">
        <v>53</v>
      </c>
      <c r="D12" s="2" t="s">
        <v>55</v>
      </c>
      <c r="E12" s="2">
        <v>4</v>
      </c>
      <c r="F12" s="5">
        <v>0.46700000000000003</v>
      </c>
      <c r="G12" s="6">
        <f t="shared" si="0"/>
        <v>1.8680000000000001</v>
      </c>
      <c r="H12" s="3" t="s">
        <v>56</v>
      </c>
    </row>
    <row r="13" spans="1:9" x14ac:dyDescent="0.2">
      <c r="A13" s="2" t="s">
        <v>48</v>
      </c>
      <c r="B13" s="2" t="s">
        <v>57</v>
      </c>
      <c r="C13" s="2" t="s">
        <v>58</v>
      </c>
      <c r="D13" s="2" t="s">
        <v>51</v>
      </c>
      <c r="E13" s="2">
        <v>3</v>
      </c>
      <c r="F13" s="5">
        <v>9.8000000000000004E-2</v>
      </c>
      <c r="G13" s="6">
        <f t="shared" si="0"/>
        <v>0.29400000000000004</v>
      </c>
      <c r="H13" s="3" t="s">
        <v>52</v>
      </c>
    </row>
    <row r="14" spans="1:9" x14ac:dyDescent="0.2">
      <c r="A14" s="2" t="s">
        <v>59</v>
      </c>
      <c r="B14" s="2" t="s">
        <v>60</v>
      </c>
      <c r="C14" s="2" t="s">
        <v>61</v>
      </c>
      <c r="D14" s="2" t="s">
        <v>62</v>
      </c>
      <c r="E14" s="2">
        <v>4</v>
      </c>
      <c r="F14" s="5">
        <v>0.6</v>
      </c>
      <c r="G14" s="6">
        <f t="shared" si="0"/>
        <v>2.4</v>
      </c>
      <c r="H14" s="3" t="s">
        <v>63</v>
      </c>
      <c r="I14" s="3" t="s">
        <v>64</v>
      </c>
    </row>
    <row r="15" spans="1:9" x14ac:dyDescent="0.2">
      <c r="A15" s="2" t="s">
        <v>65</v>
      </c>
      <c r="B15" s="2" t="s">
        <v>66</v>
      </c>
      <c r="C15" s="2" t="s">
        <v>67</v>
      </c>
      <c r="D15" s="2" t="s">
        <v>68</v>
      </c>
      <c r="E15" s="2">
        <v>3</v>
      </c>
      <c r="F15" s="5">
        <v>0.90400000000000003</v>
      </c>
      <c r="G15" s="6">
        <f t="shared" si="0"/>
        <v>2.7120000000000002</v>
      </c>
      <c r="H15" s="3" t="s">
        <v>69</v>
      </c>
    </row>
    <row r="16" spans="1:9" x14ac:dyDescent="0.2">
      <c r="A16" s="2" t="s">
        <v>70</v>
      </c>
      <c r="B16" s="2" t="s">
        <v>71</v>
      </c>
      <c r="C16" s="2" t="s">
        <v>70</v>
      </c>
      <c r="D16" s="2" t="s">
        <v>72</v>
      </c>
      <c r="E16" s="2">
        <v>4</v>
      </c>
      <c r="F16" s="5">
        <v>0.32200000000000001</v>
      </c>
      <c r="G16" s="6">
        <f t="shared" si="0"/>
        <v>1.288</v>
      </c>
      <c r="H16" s="3" t="s">
        <v>73</v>
      </c>
    </row>
    <row r="17" spans="1:8" x14ac:dyDescent="0.2">
      <c r="A17" s="2" t="s">
        <v>74</v>
      </c>
      <c r="B17" s="2" t="s">
        <v>75</v>
      </c>
      <c r="C17" s="2" t="s">
        <v>76</v>
      </c>
      <c r="D17" s="2" t="s">
        <v>77</v>
      </c>
      <c r="E17" s="2">
        <v>3</v>
      </c>
      <c r="F17" s="5">
        <v>1.4E-2</v>
      </c>
      <c r="G17" s="6">
        <f t="shared" si="0"/>
        <v>4.2000000000000003E-2</v>
      </c>
      <c r="H17" s="3" t="s">
        <v>78</v>
      </c>
    </row>
    <row r="18" spans="1:8" x14ac:dyDescent="0.2">
      <c r="A18" s="2" t="s">
        <v>79</v>
      </c>
      <c r="B18" s="2" t="s">
        <v>80</v>
      </c>
      <c r="C18" s="2" t="s">
        <v>76</v>
      </c>
      <c r="D18" s="2" t="s">
        <v>81</v>
      </c>
      <c r="E18" s="2">
        <v>1</v>
      </c>
      <c r="F18" s="5">
        <v>1.4E-2</v>
      </c>
      <c r="G18" s="6">
        <f t="shared" si="0"/>
        <v>1.4E-2</v>
      </c>
      <c r="H18" s="3" t="s">
        <v>82</v>
      </c>
    </row>
    <row r="19" spans="1:8" x14ac:dyDescent="0.2">
      <c r="A19" s="2" t="s">
        <v>83</v>
      </c>
      <c r="B19" s="2" t="s">
        <v>84</v>
      </c>
      <c r="C19" s="2" t="s">
        <v>76</v>
      </c>
      <c r="D19" s="2" t="s">
        <v>85</v>
      </c>
      <c r="E19" s="2">
        <v>3</v>
      </c>
      <c r="F19" s="5">
        <v>1E-3</v>
      </c>
      <c r="G19" s="6">
        <f t="shared" si="0"/>
        <v>3.0000000000000001E-3</v>
      </c>
      <c r="H19" s="3" t="s">
        <v>86</v>
      </c>
    </row>
    <row r="20" spans="1:8" x14ac:dyDescent="0.2">
      <c r="A20" s="2" t="s">
        <v>87</v>
      </c>
      <c r="B20" s="2" t="s">
        <v>88</v>
      </c>
      <c r="C20" s="2" t="s">
        <v>76</v>
      </c>
      <c r="D20" s="2" t="s">
        <v>89</v>
      </c>
      <c r="E20" s="2">
        <v>18</v>
      </c>
      <c r="F20" s="5">
        <v>1.4E-2</v>
      </c>
      <c r="G20" s="6">
        <f t="shared" si="0"/>
        <v>0.252</v>
      </c>
      <c r="H20" s="3" t="s">
        <v>90</v>
      </c>
    </row>
    <row r="21" spans="1:8" x14ac:dyDescent="0.2">
      <c r="A21" s="2" t="s">
        <v>91</v>
      </c>
      <c r="B21" s="2" t="s">
        <v>92</v>
      </c>
      <c r="C21" s="2" t="s">
        <v>76</v>
      </c>
      <c r="D21" s="2" t="s">
        <v>93</v>
      </c>
      <c r="E21" s="2">
        <v>7</v>
      </c>
      <c r="F21" s="5">
        <v>1E-3</v>
      </c>
      <c r="G21" s="6">
        <f t="shared" si="0"/>
        <v>7.0000000000000001E-3</v>
      </c>
      <c r="H21" s="3" t="s">
        <v>94</v>
      </c>
    </row>
    <row r="22" spans="1:8" x14ac:dyDescent="0.2">
      <c r="A22" s="2" t="s">
        <v>95</v>
      </c>
      <c r="B22" s="2" t="s">
        <v>96</v>
      </c>
      <c r="C22" s="2" t="s">
        <v>76</v>
      </c>
      <c r="D22" s="2" t="s">
        <v>97</v>
      </c>
      <c r="E22" s="2">
        <v>4</v>
      </c>
      <c r="F22" s="5">
        <v>1.4E-2</v>
      </c>
      <c r="G22" s="6">
        <f t="shared" si="0"/>
        <v>5.6000000000000001E-2</v>
      </c>
      <c r="H22" s="3" t="s">
        <v>98</v>
      </c>
    </row>
    <row r="23" spans="1:8" x14ac:dyDescent="0.2">
      <c r="A23" s="2" t="s">
        <v>99</v>
      </c>
      <c r="B23" s="2" t="s">
        <v>100</v>
      </c>
      <c r="C23" s="2" t="s">
        <v>76</v>
      </c>
      <c r="D23" s="2" t="s">
        <v>101</v>
      </c>
      <c r="E23" s="2">
        <v>2</v>
      </c>
      <c r="F23" s="5">
        <v>1.4E-2</v>
      </c>
      <c r="G23" s="6">
        <f t="shared" si="0"/>
        <v>2.8000000000000001E-2</v>
      </c>
      <c r="H23" s="3" t="s">
        <v>102</v>
      </c>
    </row>
    <row r="24" spans="1:8" x14ac:dyDescent="0.2">
      <c r="A24" s="2" t="s">
        <v>103</v>
      </c>
      <c r="B24" s="2" t="s">
        <v>104</v>
      </c>
      <c r="C24" s="2" t="s">
        <v>76</v>
      </c>
      <c r="D24" s="2" t="s">
        <v>105</v>
      </c>
      <c r="E24" s="2">
        <v>1</v>
      </c>
      <c r="F24" s="5">
        <v>0.02</v>
      </c>
      <c r="G24" s="6">
        <f t="shared" si="0"/>
        <v>0.02</v>
      </c>
      <c r="H24" s="3" t="s">
        <v>106</v>
      </c>
    </row>
    <row r="25" spans="1:8" x14ac:dyDescent="0.2">
      <c r="A25" s="2" t="s">
        <v>107</v>
      </c>
      <c r="B25" s="2" t="s">
        <v>108</v>
      </c>
      <c r="C25" s="2" t="s">
        <v>76</v>
      </c>
      <c r="D25" s="2" t="s">
        <v>109</v>
      </c>
      <c r="E25" s="2">
        <v>3</v>
      </c>
      <c r="F25" s="5">
        <v>1.4E-2</v>
      </c>
      <c r="G25" s="6">
        <f t="shared" si="0"/>
        <v>4.2000000000000003E-2</v>
      </c>
      <c r="H25" s="3" t="s">
        <v>110</v>
      </c>
    </row>
    <row r="26" spans="1:8" x14ac:dyDescent="0.2">
      <c r="A26" s="2" t="s">
        <v>111</v>
      </c>
      <c r="B26" s="2" t="s">
        <v>112</v>
      </c>
      <c r="C26" s="2" t="s">
        <v>76</v>
      </c>
      <c r="D26" s="2" t="s">
        <v>113</v>
      </c>
      <c r="E26" s="2">
        <v>1</v>
      </c>
      <c r="F26" s="5">
        <v>1E-3</v>
      </c>
      <c r="G26" s="6">
        <f t="shared" si="0"/>
        <v>1E-3</v>
      </c>
      <c r="H26" s="3" t="s">
        <v>114</v>
      </c>
    </row>
    <row r="27" spans="1:8" x14ac:dyDescent="0.2">
      <c r="A27" s="2" t="s">
        <v>115</v>
      </c>
      <c r="B27" s="2" t="s">
        <v>116</v>
      </c>
      <c r="C27" s="2" t="s">
        <v>76</v>
      </c>
      <c r="D27" s="2" t="s">
        <v>117</v>
      </c>
      <c r="E27" s="2">
        <v>1</v>
      </c>
      <c r="F27" s="5">
        <v>0.06</v>
      </c>
      <c r="G27" s="6">
        <f t="shared" si="0"/>
        <v>0.06</v>
      </c>
      <c r="H27" s="3" t="s">
        <v>118</v>
      </c>
    </row>
    <row r="28" spans="1:8" x14ac:dyDescent="0.2">
      <c r="A28" s="2" t="s">
        <v>119</v>
      </c>
      <c r="B28" s="2" t="s">
        <v>120</v>
      </c>
      <c r="C28" s="2" t="s">
        <v>76</v>
      </c>
      <c r="D28" s="2" t="s">
        <v>121</v>
      </c>
      <c r="E28" s="2">
        <v>1</v>
      </c>
      <c r="F28" s="5">
        <v>1.4E-2</v>
      </c>
      <c r="G28" s="6">
        <f t="shared" si="0"/>
        <v>1.4E-2</v>
      </c>
      <c r="H28" s="3" t="s">
        <v>122</v>
      </c>
    </row>
    <row r="29" spans="1:8" x14ac:dyDescent="0.2">
      <c r="A29" s="2" t="s">
        <v>123</v>
      </c>
      <c r="B29" s="2" t="s">
        <v>124</v>
      </c>
      <c r="C29" s="2" t="s">
        <v>76</v>
      </c>
      <c r="D29" s="2" t="s">
        <v>93</v>
      </c>
      <c r="E29" s="2">
        <v>1</v>
      </c>
      <c r="F29" s="5">
        <v>1E-3</v>
      </c>
      <c r="G29" s="6">
        <f t="shared" si="0"/>
        <v>1E-3</v>
      </c>
      <c r="H29" s="3" t="s">
        <v>94</v>
      </c>
    </row>
    <row r="30" spans="1:8" x14ac:dyDescent="0.2">
      <c r="A30" s="2" t="s">
        <v>125</v>
      </c>
      <c r="B30" s="2" t="s">
        <v>126</v>
      </c>
      <c r="C30" s="2" t="s">
        <v>127</v>
      </c>
      <c r="D30" s="2" t="s">
        <v>128</v>
      </c>
      <c r="E30" s="2">
        <v>4</v>
      </c>
      <c r="F30" s="5">
        <v>0.183</v>
      </c>
      <c r="G30" s="6">
        <f t="shared" si="0"/>
        <v>0.73199999999999998</v>
      </c>
      <c r="H30" s="3" t="s">
        <v>129</v>
      </c>
    </row>
    <row r="31" spans="1:8" x14ac:dyDescent="0.2">
      <c r="A31" s="2" t="s">
        <v>130</v>
      </c>
      <c r="B31" s="2" t="s">
        <v>131</v>
      </c>
      <c r="C31" s="2" t="s">
        <v>130</v>
      </c>
      <c r="D31" s="2" t="s">
        <v>132</v>
      </c>
      <c r="E31" s="2">
        <v>3</v>
      </c>
      <c r="F31" s="5">
        <v>0.22500000000000001</v>
      </c>
      <c r="G31" s="6">
        <f t="shared" si="0"/>
        <v>0.67500000000000004</v>
      </c>
      <c r="H31" s="3" t="s">
        <v>133</v>
      </c>
    </row>
    <row r="32" spans="1:8" x14ac:dyDescent="0.2">
      <c r="A32" s="2" t="s">
        <v>134</v>
      </c>
      <c r="B32" s="2" t="s">
        <v>135</v>
      </c>
      <c r="C32" s="2" t="s">
        <v>134</v>
      </c>
      <c r="D32" s="2" t="s">
        <v>136</v>
      </c>
      <c r="E32" s="2">
        <v>1</v>
      </c>
      <c r="F32" s="5">
        <v>1.27</v>
      </c>
      <c r="G32" s="6">
        <f t="shared" si="0"/>
        <v>1.27</v>
      </c>
      <c r="H32" s="3" t="s">
        <v>137</v>
      </c>
    </row>
    <row r="33" spans="1:9" x14ac:dyDescent="0.2">
      <c r="A33" s="2" t="s">
        <v>138</v>
      </c>
      <c r="B33" s="2" t="s">
        <v>139</v>
      </c>
      <c r="C33" s="2" t="s">
        <v>138</v>
      </c>
      <c r="D33" s="2" t="s">
        <v>140</v>
      </c>
      <c r="E33" s="2">
        <v>1</v>
      </c>
      <c r="F33" s="5">
        <v>15.93</v>
      </c>
      <c r="G33" s="6">
        <f t="shared" si="0"/>
        <v>15.93</v>
      </c>
      <c r="H33" s="3" t="s">
        <v>141</v>
      </c>
    </row>
    <row r="34" spans="1:9" x14ac:dyDescent="0.2">
      <c r="A34" s="2" t="s">
        <v>142</v>
      </c>
      <c r="B34" s="2" t="s">
        <v>143</v>
      </c>
      <c r="C34" s="2" t="s">
        <v>144</v>
      </c>
      <c r="D34" s="2" t="s">
        <v>145</v>
      </c>
      <c r="E34" s="2">
        <v>1</v>
      </c>
      <c r="F34" s="5">
        <v>3.4449999999999998</v>
      </c>
      <c r="G34" s="6">
        <f t="shared" si="0"/>
        <v>3.4449999999999998</v>
      </c>
      <c r="H34" s="3" t="s">
        <v>146</v>
      </c>
      <c r="I34" s="3" t="s">
        <v>147</v>
      </c>
    </row>
    <row r="35" spans="1:9" s="11" customFormat="1" x14ac:dyDescent="0.2">
      <c r="A35" s="7" t="s">
        <v>148</v>
      </c>
      <c r="B35" s="7" t="s">
        <v>149</v>
      </c>
      <c r="C35" s="7" t="s">
        <v>150</v>
      </c>
      <c r="D35" s="7"/>
      <c r="E35" s="7">
        <v>2</v>
      </c>
      <c r="F35" s="8">
        <v>7.16</v>
      </c>
      <c r="G35" s="9">
        <f t="shared" si="0"/>
        <v>14.32</v>
      </c>
      <c r="H35" s="10" t="s">
        <v>151</v>
      </c>
    </row>
    <row r="36" spans="1:9" s="11" customFormat="1" x14ac:dyDescent="0.2">
      <c r="A36" s="7" t="s">
        <v>152</v>
      </c>
      <c r="B36" s="7" t="s">
        <v>153</v>
      </c>
      <c r="C36" s="7" t="s">
        <v>154</v>
      </c>
      <c r="D36" s="7"/>
      <c r="E36" s="7">
        <v>2</v>
      </c>
      <c r="F36" s="8">
        <v>2.66</v>
      </c>
      <c r="G36" s="9">
        <f t="shared" si="0"/>
        <v>5.32</v>
      </c>
      <c r="H36" s="10" t="s">
        <v>155</v>
      </c>
    </row>
    <row r="37" spans="1:9" x14ac:dyDescent="0.2">
      <c r="A37" s="2" t="s">
        <v>156</v>
      </c>
      <c r="B37" s="2" t="s">
        <v>157</v>
      </c>
      <c r="C37" s="2" t="s">
        <v>158</v>
      </c>
      <c r="D37" s="2" t="s">
        <v>159</v>
      </c>
      <c r="E37" s="2">
        <v>1</v>
      </c>
      <c r="F37" s="5">
        <v>1.45</v>
      </c>
      <c r="G37" s="6">
        <f t="shared" si="0"/>
        <v>1.45</v>
      </c>
      <c r="H37" s="3" t="s">
        <v>160</v>
      </c>
    </row>
    <row r="38" spans="1:9" x14ac:dyDescent="0.2">
      <c r="A38" s="2" t="s">
        <v>161</v>
      </c>
      <c r="B38" s="2" t="s">
        <v>162</v>
      </c>
      <c r="C38" s="2" t="s">
        <v>163</v>
      </c>
      <c r="D38" s="2" t="s">
        <v>164</v>
      </c>
      <c r="E38" s="2">
        <v>1</v>
      </c>
      <c r="F38" s="5">
        <v>0.13900000000000001</v>
      </c>
      <c r="G38" s="6">
        <f t="shared" si="0"/>
        <v>0.13900000000000001</v>
      </c>
      <c r="H38" s="3" t="s">
        <v>165</v>
      </c>
      <c r="I38" s="3" t="s">
        <v>166</v>
      </c>
    </row>
    <row r="39" spans="1:9" x14ac:dyDescent="0.2">
      <c r="A39" s="2" t="s">
        <v>167</v>
      </c>
      <c r="B39" s="2" t="s">
        <v>168</v>
      </c>
      <c r="C39" s="2" t="s">
        <v>167</v>
      </c>
      <c r="D39" s="2" t="s">
        <v>169</v>
      </c>
      <c r="E39" s="2">
        <v>1</v>
      </c>
      <c r="F39" s="5">
        <v>1.58</v>
      </c>
      <c r="G39" s="6">
        <f t="shared" si="0"/>
        <v>1.58</v>
      </c>
      <c r="H39" s="3" t="s">
        <v>170</v>
      </c>
    </row>
    <row r="41" spans="1:9" x14ac:dyDescent="0.2">
      <c r="E41" s="1" t="s">
        <v>171</v>
      </c>
      <c r="G41" s="4">
        <f>SUM(G2:G39)</f>
        <v>61.821000000000005</v>
      </c>
    </row>
    <row r="42" spans="1:9" x14ac:dyDescent="0.2">
      <c r="A42" s="2"/>
    </row>
  </sheetData>
  <hyperlinks>
    <hyperlink ref="H2" r:id="rId1" xr:uid="{00000000-0004-0000-0000-000000000000}"/>
    <hyperlink ref="H3" r:id="rId2" xr:uid="{00000000-0004-0000-0000-000001000000}"/>
    <hyperlink ref="H4" r:id="rId3" xr:uid="{00000000-0004-0000-0000-000002000000}"/>
    <hyperlink ref="H5" r:id="rId4" xr:uid="{00000000-0004-0000-0000-000003000000}"/>
    <hyperlink ref="H6" r:id="rId5" xr:uid="{00000000-0004-0000-0000-000004000000}"/>
    <hyperlink ref="H7" r:id="rId6" xr:uid="{00000000-0004-0000-0000-000005000000}"/>
    <hyperlink ref="H8" r:id="rId7" xr:uid="{00000000-0004-0000-0000-000006000000}"/>
    <hyperlink ref="H9" r:id="rId8" xr:uid="{00000000-0004-0000-0000-000007000000}"/>
    <hyperlink ref="H10" r:id="rId9" xr:uid="{00000000-0004-0000-0000-000008000000}"/>
    <hyperlink ref="H11" r:id="rId10" xr:uid="{00000000-0004-0000-0000-000009000000}"/>
    <hyperlink ref="H12" r:id="rId11" xr:uid="{00000000-0004-0000-0000-00000A000000}"/>
    <hyperlink ref="H13" r:id="rId12" xr:uid="{00000000-0004-0000-0000-00000B000000}"/>
    <hyperlink ref="H14" r:id="rId13" xr:uid="{00000000-0004-0000-0000-00000C000000}"/>
    <hyperlink ref="I14" r:id="rId14" xr:uid="{00000000-0004-0000-0000-00000D000000}"/>
    <hyperlink ref="H15" r:id="rId15" xr:uid="{00000000-0004-0000-0000-00000E000000}"/>
    <hyperlink ref="H16" r:id="rId16" xr:uid="{00000000-0004-0000-0000-00000F000000}"/>
    <hyperlink ref="H17" r:id="rId17" xr:uid="{00000000-0004-0000-0000-000010000000}"/>
    <hyperlink ref="H18" r:id="rId18" xr:uid="{00000000-0004-0000-0000-000011000000}"/>
    <hyperlink ref="H19" r:id="rId19" xr:uid="{00000000-0004-0000-0000-000012000000}"/>
    <hyperlink ref="H20" r:id="rId20" xr:uid="{00000000-0004-0000-0000-000013000000}"/>
    <hyperlink ref="H21" r:id="rId21" xr:uid="{00000000-0004-0000-0000-000014000000}"/>
    <hyperlink ref="H22" r:id="rId22" xr:uid="{00000000-0004-0000-0000-000015000000}"/>
    <hyperlink ref="H23" r:id="rId23" xr:uid="{00000000-0004-0000-0000-000016000000}"/>
    <hyperlink ref="H24" r:id="rId24" xr:uid="{00000000-0004-0000-0000-000017000000}"/>
    <hyperlink ref="H25" r:id="rId25" xr:uid="{00000000-0004-0000-0000-000018000000}"/>
    <hyperlink ref="H26" r:id="rId26" xr:uid="{00000000-0004-0000-0000-000019000000}"/>
    <hyperlink ref="H27" r:id="rId27" xr:uid="{00000000-0004-0000-0000-00001A000000}"/>
    <hyperlink ref="H28" r:id="rId28" xr:uid="{00000000-0004-0000-0000-00001B000000}"/>
    <hyperlink ref="H29" r:id="rId29" xr:uid="{00000000-0004-0000-0000-00001C000000}"/>
    <hyperlink ref="H30" r:id="rId30" xr:uid="{00000000-0004-0000-0000-00001D000000}"/>
    <hyperlink ref="H31" r:id="rId31" xr:uid="{00000000-0004-0000-0000-00001E000000}"/>
    <hyperlink ref="H32" r:id="rId32" xr:uid="{00000000-0004-0000-0000-00001F000000}"/>
    <hyperlink ref="H33" r:id="rId33" xr:uid="{00000000-0004-0000-0000-000020000000}"/>
    <hyperlink ref="H34" r:id="rId34" xr:uid="{00000000-0004-0000-0000-000021000000}"/>
    <hyperlink ref="I34" r:id="rId35" xr:uid="{00000000-0004-0000-0000-000022000000}"/>
    <hyperlink ref="H35" r:id="rId36" xr:uid="{00000000-0004-0000-0000-000023000000}"/>
    <hyperlink ref="H36" r:id="rId37" xr:uid="{00000000-0004-0000-0000-000024000000}"/>
    <hyperlink ref="H37" r:id="rId38" xr:uid="{00000000-0004-0000-0000-000025000000}"/>
    <hyperlink ref="H38" r:id="rId39" xr:uid="{00000000-0004-0000-0000-000026000000}"/>
    <hyperlink ref="I38" r:id="rId40" xr:uid="{00000000-0004-0000-0000-000027000000}"/>
    <hyperlink ref="H39" r:id="rId41" xr:uid="{00000000-0004-0000-0000-000028000000}"/>
  </hyperlinks>
  <pageMargins left="0.75" right="0.75" top="1" bottom="1" header="0.5" footer="0.5"/>
  <legacyDrawing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Vuong, Charlie</cp:lastModifiedBy>
  <dcterms:created xsi:type="dcterms:W3CDTF">2026-09-28T14:48:07Z</dcterms:created>
  <dcterms:modified xsi:type="dcterms:W3CDTF">2026-09-28T16:09:12Z</dcterms:modified>
</cp:coreProperties>
</file>