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angVuong\RheoBoard_Adafruit_V6\verkicad\RheoBoard_Adafruit_V9\RheoBoard_Adafruit_V9\"/>
    </mc:Choice>
  </mc:AlternateContent>
  <xr:revisionPtr revIDLastSave="0" documentId="13_ncr:1_{68AF3128-4021-451A-A1AB-1AFA249F7B11}" xr6:coauthVersionLast="47" xr6:coauthVersionMax="47" xr10:uidLastSave="{00000000-0000-0000-0000-000000000000}"/>
  <bookViews>
    <workbookView xWindow="-108" yWindow="-108" windowWidth="23256" windowHeight="12456" xr2:uid="{45DACFD9-4B98-4724-AE9C-7AAFE8B30869}"/>
  </bookViews>
  <sheets>
    <sheet name="RheoBoard_Adafruit_V9" sheetId="1" r:id="rId1"/>
  </sheets>
  <definedNames>
    <definedName name="_xlnm.Print_Titles" localSheetId="0">RheoBoard_Adafruit_V9!$1:$1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<sst xmlns="http://schemas.openxmlformats.org/spreadsheetml/2006/main" count="217" uniqueCount="171">
  <si>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</si>
  <si>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</si>
  <si>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</si>
  <si>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</si>
  <si>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</si>
  <si>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</si>
  <si>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</si>
  <si>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</si>
  <si>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</si>
  <si>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</si>
  <si>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</si>
  <si>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</si>
  <si>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100nF</t>
  </si>
  <si>
    <t>CAP CER 100nF 10% 50V X7R 0603 SMD</t>
  </si>
  <si>
    <t>C1, C8</t>
  </si>
  <si>
    <t>10uF</t>
  </si>
  <si>
    <t>C2, C10</t>
  </si>
  <si>
    <t>C3, C9</t>
  </si>
  <si>
    <t>C4, C20, C22, C23, C24, C26, C27, C32</t>
  </si>
  <si>
    <t>22uF</t>
  </si>
  <si>
    <t>C5, C6, C7, C12, C13</t>
  </si>
  <si>
    <t>C11</t>
  </si>
  <si>
    <t>C14</t>
  </si>
  <si>
    <t>10u</t>
  </si>
  <si>
    <t>CAP0603 X7R 10UF 10% 10V</t>
  </si>
  <si>
    <t>C15, C17, C18</t>
  </si>
  <si>
    <t>DigiKey</t>
  </si>
  <si>
    <t>4713-GMC10X7R106K10NTCT-ND</t>
  </si>
  <si>
    <t>100n</t>
  </si>
  <si>
    <t>CAP0603 X7R 100nF 10% 10V</t>
  </si>
  <si>
    <t>C16</t>
  </si>
  <si>
    <t>CAP ALUM 100UF 20% 16V SMD</t>
  </si>
  <si>
    <t>CAP ALUM 100UF 20% _x000D_
16V SMD</t>
  </si>
  <si>
    <t>C19</t>
  </si>
  <si>
    <t>Digi-Key</t>
  </si>
  <si>
    <t>493-2177-2-ND</t>
  </si>
  <si>
    <t>1nF</t>
  </si>
  <si>
    <t>C21</t>
  </si>
  <si>
    <t>C25, C28, C29, C30</t>
  </si>
  <si>
    <t>1uF</t>
  </si>
  <si>
    <t>C31</t>
  </si>
  <si>
    <t>SS34</t>
  </si>
  <si>
    <t>Schottky Diode 40V 3A SMA</t>
  </si>
  <si>
    <t>D1, D5, D7, D10, D11</t>
  </si>
  <si>
    <t>SS34-E3/57TGICT-ND</t>
  </si>
  <si>
    <t>LED Red</t>
  </si>
  <si>
    <t>D2</t>
  </si>
  <si>
    <t>160-1436-1-ND</t>
  </si>
  <si>
    <t>D3, D4, D6, D8, D9</t>
  </si>
  <si>
    <t>Diodes Inc.</t>
  </si>
  <si>
    <t>LTST-C190KRKT</t>
  </si>
  <si>
    <t>Volume Production</t>
  </si>
  <si>
    <t>C1F5</t>
  </si>
  <si>
    <t>Fuse Chip Fast Acting 5A 125V SMD Solder Pad 1206 3.2 X 1.58 X 0.63mm</t>
  </si>
  <si>
    <t>F1</t>
  </si>
  <si>
    <t>Newark</t>
  </si>
  <si>
    <t>48AC8480</t>
  </si>
  <si>
    <t>330</t>
  </si>
  <si>
    <t>FERRITE BEAD 330 OHM 0603 1LN</t>
  </si>
  <si>
    <t>FB1</t>
  </si>
  <si>
    <t>490-13257-1-ND</t>
  </si>
  <si>
    <t>PRT-14417</t>
  </si>
  <si>
    <t>QWIIC JST CONNECTOR - SMD 4-PIN</t>
  </si>
  <si>
    <t>J1, J2, J4, J5</t>
  </si>
  <si>
    <t>Jumper 3</t>
  </si>
  <si>
    <t>J3</t>
  </si>
  <si>
    <t>Jac DC 5521</t>
  </si>
  <si>
    <t>Jac DC input</t>
  </si>
  <si>
    <t>JDC1</t>
  </si>
  <si>
    <t>JP2</t>
  </si>
  <si>
    <t>jumper 2.0 B</t>
  </si>
  <si>
    <t>JP1</t>
  </si>
  <si>
    <t>4.7uH</t>
  </si>
  <si>
    <t>L1</t>
  </si>
  <si>
    <t>L2</t>
  </si>
  <si>
    <t>LED</t>
  </si>
  <si>
    <t>LED Single colour Green and Red</t>
  </si>
  <si>
    <t>LED1, LED2, LED3, LED4, LED5, LED6, LED7, LED8</t>
  </si>
  <si>
    <t>AO3400A</t>
  </si>
  <si>
    <t>MOSFET N-CH 25V 5.8A SOT23</t>
  </si>
  <si>
    <t>Q1, Q2, Q3, Q4, Q5, Q6</t>
  </si>
  <si>
    <t>IRFML8244TRPBFCT-ND</t>
  </si>
  <si>
    <t>RES 100K 5% 1/10W 0603</t>
  </si>
  <si>
    <t>Yageo RES 100K 5% 1/10W 0603</t>
  </si>
  <si>
    <t>R1, R4</t>
  </si>
  <si>
    <t>311-100KGRCT-ND</t>
  </si>
  <si>
    <t>197K</t>
  </si>
  <si>
    <t>RES CHP 2K7 1% 1/10W 0603 SMD</t>
  </si>
  <si>
    <t>R2</t>
  </si>
  <si>
    <t>30K</t>
  </si>
  <si>
    <t>R3</t>
  </si>
  <si>
    <t>270K</t>
  </si>
  <si>
    <t>R5</t>
  </si>
  <si>
    <t>30k</t>
  </si>
  <si>
    <t>R6</t>
  </si>
  <si>
    <t>1K</t>
  </si>
  <si>
    <t>R7</t>
  </si>
  <si>
    <t>Vishay</t>
  </si>
  <si>
    <t>Arrow Electronics</t>
  </si>
  <si>
    <t>2.2K</t>
  </si>
  <si>
    <t>R8</t>
  </si>
  <si>
    <t>4.7K</t>
  </si>
  <si>
    <t>R9, R10</t>
  </si>
  <si>
    <t>10K</t>
  </si>
  <si>
    <t>R11</t>
  </si>
  <si>
    <t>10k</t>
  </si>
  <si>
    <t>R12, R13, R28, R29</t>
  </si>
  <si>
    <t>R14</t>
  </si>
  <si>
    <t>R15, R16, R17, R18, R19</t>
  </si>
  <si>
    <t>1.2K</t>
  </si>
  <si>
    <t>R20</t>
  </si>
  <si>
    <t>R21, R22</t>
  </si>
  <si>
    <t>100R</t>
  </si>
  <si>
    <t>R23, R25</t>
  </si>
  <si>
    <t>100K</t>
  </si>
  <si>
    <t>R24, R26</t>
  </si>
  <si>
    <t>RES 1K 5% 1/10W 0603</t>
  </si>
  <si>
    <t>Yageo RES 1K 5% 1/10W 0603</t>
  </si>
  <si>
    <t>R27, R32, R35, R36</t>
  </si>
  <si>
    <t>LCSC</t>
  </si>
  <si>
    <t>C131707</t>
  </si>
  <si>
    <t>RES 100R 5% 1/10W 0603</t>
  </si>
  <si>
    <t>Yageo RES 100R 5% 1/10W 0603</t>
  </si>
  <si>
    <t>R30, R33, R37, R38</t>
  </si>
  <si>
    <t>311-100GRCT-ND</t>
  </si>
  <si>
    <t>RES 10K 5% 1/10W 0603</t>
  </si>
  <si>
    <t>Yageo RES 10K 5% 1/10W 0603</t>
  </si>
  <si>
    <t>R31, R34, R39, R40</t>
  </si>
  <si>
    <t>311-10KGRCT-ND</t>
  </si>
  <si>
    <t>SW1, SW2, SW3, SW4</t>
  </si>
  <si>
    <t>TP1, TP2, TP3</t>
  </si>
  <si>
    <t>TI TPS563203DRLR</t>
  </si>
  <si>
    <t>ICS OCV BCK TPS563201 3A SOT23-6 SMD</t>
  </si>
  <si>
    <t>U1, U2</t>
  </si>
  <si>
    <t>AP2112K-3.3TRG1</t>
  </si>
  <si>
    <t>AP2112 Series 0.6 A 3.3 V Fixed Output SMT LDO Linear Regulator - SOT23-5</t>
  </si>
  <si>
    <t>U3</t>
  </si>
  <si>
    <t>TCA9534APWR</t>
  </si>
  <si>
    <t>8-bit 1.65- to 5.5-V I2C/SMBus I/O expander with interrupt, &amp; config registers</t>
  </si>
  <si>
    <t>U4</t>
  </si>
  <si>
    <t>MPRLS0025PA00001A</t>
  </si>
  <si>
    <t>Pressure Sensor 25PSI _172.37kPa_ Absolute Male - 0.1 _2.5mm_ Tube 24 b 12-SMD Module</t>
  </si>
  <si>
    <t>U5</t>
  </si>
  <si>
    <t>PCA9632DP2,118</t>
  </si>
  <si>
    <t>U6</t>
  </si>
  <si>
    <t>PUMP</t>
  </si>
  <si>
    <t>Connector Header 2 Position 6.35mm Solder Straight Thru-Hole 2 Terminal 1 Port MLX-Series</t>
  </si>
  <si>
    <t>U7, U8</t>
  </si>
  <si>
    <t>0010844022</t>
  </si>
  <si>
    <t>U9</t>
  </si>
  <si>
    <t>VALVE2</t>
  </si>
  <si>
    <t>U10</t>
  </si>
  <si>
    <t>PCA9632, 4-bit Fm+ I2C-bus low power LED driver</t>
  </si>
  <si>
    <t>Header 1x1</t>
  </si>
  <si>
    <t>Header</t>
  </si>
  <si>
    <t xml:space="preserve"> button 4 pin</t>
  </si>
  <si>
    <t>button</t>
  </si>
  <si>
    <t>Resistor 0603</t>
  </si>
  <si>
    <t>RES CHP 2.2K 1% 1/10W 0603 SMD</t>
  </si>
  <si>
    <t>RES CHP 4.7K 1% 1/10W 0603 SMD</t>
  </si>
  <si>
    <t>RES CHP 10K 1% 1/10W 0603 SMD</t>
  </si>
  <si>
    <t>RES CHP 1K 1% 1/10W 0603 SMD</t>
  </si>
  <si>
    <t>Res Thick Film 0603 1K Ohm 5% 0603</t>
  </si>
  <si>
    <t xml:space="preserve">Jumper </t>
  </si>
  <si>
    <t>CAP CER 10uF 10% 50V X7R 0603 SMD</t>
  </si>
  <si>
    <t>CAP CER 22uF 10% 50V X7R 0603 SMD</t>
  </si>
  <si>
    <t>CAP0603 X7R 1nF 10% 10V</t>
  </si>
  <si>
    <t>CAP CER 1uF 10% 50V X7R 0603 SMD</t>
  </si>
  <si>
    <t>Lite-On LED Red 1206</t>
  </si>
  <si>
    <t>VALVE1</t>
  </si>
  <si>
    <t>4.7uH CD127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</si>
</sst>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2496-19DD-4B0F-A808-2944DD589671}">
  <dimension ref="A1:L58"/>
  <sheetViews>
    <sheetView tabSelected="1" topLeftCell="A41" workbookViewId="0">
      <selection activeCell="C27" sqref="C27"/>
    </sheetView>
  </sheetViews>
  <sheetFormatPr defaultRowHeight="14.4" x14ac:dyDescent="0.3"/>
  <cols>
    <col min="1" max="1" width="5.77734375" bestFit="1" customWidth="1"/>
    <col min="2" max="2" width="27.44140625" bestFit="1" customWidth="1"/>
    <col min="3" max="3" width="77.77734375" bestFit="1" customWidth="1"/>
    <col min="4" max="4" width="40.88671875" bestFit="1" customWidth="1"/>
    <col min="5" max="5" width="8" bestFit="1" customWidth="1"/>
    <col min="6" max="6" width="13.77734375" bestFit="1" customWidth="1"/>
    <col min="7" max="7" width="24.77734375" bestFit="1" customWidth="1"/>
    <col min="8" max="8" width="21.5546875" bestFit="1" customWidth="1"/>
    <col min="9" max="9" width="15.44140625" bestFit="1" customWidth="1"/>
    <col min="10" max="10" width="28.88671875" bestFit="1" customWidth="1"/>
    <col min="11" max="11" width="17.44140625" bestFit="1" customWidth="1"/>
    <col min="12" max="12" width="16.21875" bestFit="1" customWidth="1"/>
  </cols>
  <sheetData>
    <row r="1" spans="1:12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f>ROW()-1</f>
        <v>1</v>
      </c>
      <c r="B2" s="2" t="s">
        <v>12</v>
      </c>
      <c r="C2" s="2" t="s">
        <v>13</v>
      </c>
      <c r="D2" s="2" t="s">
        <v>14</v>
      </c>
      <c r="E2" s="1">
        <v>2</v>
      </c>
      <c r="F2" s="1"/>
      <c r="G2" s="1"/>
      <c r="H2" s="1"/>
      <c r="I2" s="1"/>
      <c r="J2" s="1"/>
      <c r="K2" s="1"/>
      <c r="L2" s="1"/>
    </row>
    <row r="3" spans="1:12" x14ac:dyDescent="0.3">
      <c r="A3" s="2">
        <f t="shared" ref="A3:A56" si="0">ROW()-1</f>
        <v>2</v>
      </c>
      <c r="B3" s="2" t="s">
        <v>15</v>
      </c>
      <c r="C3" s="2" t="s">
        <v>164</v>
      </c>
      <c r="D3" s="2" t="s">
        <v>16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3">
      <c r="A4" s="2">
        <f t="shared" si="0"/>
        <v>3</v>
      </c>
      <c r="B4" s="2" t="s">
        <v>15</v>
      </c>
      <c r="C4" s="2" t="s">
        <v>164</v>
      </c>
      <c r="D4" s="2" t="s">
        <v>17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>
        <f t="shared" si="0"/>
        <v>4</v>
      </c>
      <c r="B5" s="2" t="s">
        <v>12</v>
      </c>
      <c r="C5" s="2" t="s">
        <v>13</v>
      </c>
      <c r="D5" s="2" t="s">
        <v>18</v>
      </c>
      <c r="E5" s="1">
        <v>8</v>
      </c>
      <c r="F5" s="1"/>
      <c r="G5" s="1"/>
      <c r="H5" s="1"/>
      <c r="I5" s="1"/>
      <c r="J5" s="1"/>
      <c r="K5" s="1"/>
      <c r="L5" s="1"/>
    </row>
    <row r="6" spans="1:12" x14ac:dyDescent="0.3">
      <c r="A6" s="2">
        <f t="shared" si="0"/>
        <v>5</v>
      </c>
      <c r="B6" s="2" t="s">
        <v>19</v>
      </c>
      <c r="C6" s="2" t="s">
        <v>165</v>
      </c>
      <c r="D6" s="2" t="s">
        <v>20</v>
      </c>
      <c r="E6" s="1">
        <v>5</v>
      </c>
      <c r="F6" s="1"/>
      <c r="G6" s="1"/>
      <c r="H6" s="1"/>
      <c r="I6" s="1"/>
      <c r="J6" s="1"/>
      <c r="K6" s="1"/>
      <c r="L6" s="1"/>
    </row>
    <row r="7" spans="1:12" x14ac:dyDescent="0.3">
      <c r="A7" s="2">
        <f t="shared" si="0"/>
        <v>6</v>
      </c>
      <c r="B7" s="2" t="s">
        <v>12</v>
      </c>
      <c r="C7" s="2" t="s">
        <v>13</v>
      </c>
      <c r="D7" s="2" t="s">
        <v>21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>
        <f t="shared" si="0"/>
        <v>7</v>
      </c>
      <c r="B8" s="2" t="s">
        <v>19</v>
      </c>
      <c r="C8" s="2" t="s">
        <v>165</v>
      </c>
      <c r="D8" s="2" t="s">
        <v>22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>
        <f t="shared" si="0"/>
        <v>8</v>
      </c>
      <c r="B9" s="2" t="s">
        <v>23</v>
      </c>
      <c r="C9" s="2" t="s">
        <v>24</v>
      </c>
      <c r="D9" s="2" t="s">
        <v>25</v>
      </c>
      <c r="E9" s="1">
        <v>3</v>
      </c>
      <c r="F9" s="1"/>
      <c r="G9" s="1"/>
      <c r="H9" s="1"/>
      <c r="I9" s="2" t="s">
        <v>26</v>
      </c>
      <c r="J9" s="2" t="s">
        <v>27</v>
      </c>
      <c r="K9" s="1"/>
      <c r="L9" s="1"/>
    </row>
    <row r="10" spans="1:12" x14ac:dyDescent="0.3">
      <c r="A10" s="2">
        <f t="shared" si="0"/>
        <v>9</v>
      </c>
      <c r="B10" s="2" t="s">
        <v>28</v>
      </c>
      <c r="C10" s="2" t="s">
        <v>29</v>
      </c>
      <c r="D10" s="2" t="s">
        <v>30</v>
      </c>
      <c r="E10" s="1">
        <v>1</v>
      </c>
      <c r="F10" s="1"/>
      <c r="G10" s="1"/>
      <c r="H10" s="1"/>
      <c r="I10" s="2" t="s">
        <v>26</v>
      </c>
      <c r="J10" s="2" t="s">
        <v>27</v>
      </c>
      <c r="K10" s="1"/>
      <c r="L10" s="1"/>
    </row>
    <row r="11" spans="1:12" ht="28.8" x14ac:dyDescent="0.3">
      <c r="A11" s="2">
        <f t="shared" si="0"/>
        <v>10</v>
      </c>
      <c r="B11" s="2" t="s">
        <v>31</v>
      </c>
      <c r="C11" s="3" t="s">
        <v>32</v>
      </c>
      <c r="D11" s="2" t="s">
        <v>33</v>
      </c>
      <c r="E11" s="1">
        <v>1</v>
      </c>
      <c r="F11" s="1"/>
      <c r="G11" s="1"/>
      <c r="H11" s="1"/>
      <c r="I11" s="2" t="s">
        <v>34</v>
      </c>
      <c r="J11" s="2" t="s">
        <v>35</v>
      </c>
      <c r="K11" s="1"/>
      <c r="L11" s="1"/>
    </row>
    <row r="12" spans="1:12" x14ac:dyDescent="0.3">
      <c r="A12" s="2">
        <f t="shared" si="0"/>
        <v>11</v>
      </c>
      <c r="B12" s="2" t="s">
        <v>36</v>
      </c>
      <c r="C12" s="2" t="s">
        <v>166</v>
      </c>
      <c r="D12" s="2" t="s">
        <v>37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>
        <f t="shared" si="0"/>
        <v>12</v>
      </c>
      <c r="B13" s="2" t="s">
        <v>31</v>
      </c>
      <c r="C13" s="2" t="s">
        <v>31</v>
      </c>
      <c r="D13" s="2" t="s">
        <v>38</v>
      </c>
      <c r="E13" s="1">
        <v>4</v>
      </c>
      <c r="F13" s="1"/>
      <c r="G13" s="1"/>
      <c r="H13" s="1"/>
      <c r="I13" s="2" t="s">
        <v>34</v>
      </c>
      <c r="J13" s="2" t="s">
        <v>35</v>
      </c>
      <c r="K13" s="1"/>
      <c r="L13" s="1"/>
    </row>
    <row r="14" spans="1:12" x14ac:dyDescent="0.3">
      <c r="A14" s="2">
        <f t="shared" si="0"/>
        <v>13</v>
      </c>
      <c r="B14" s="2" t="s">
        <v>39</v>
      </c>
      <c r="C14" s="2" t="s">
        <v>167</v>
      </c>
      <c r="D14" s="2" t="s">
        <v>40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3">
      <c r="A15" s="2">
        <f t="shared" si="0"/>
        <v>14</v>
      </c>
      <c r="B15" s="2" t="s">
        <v>41</v>
      </c>
      <c r="C15" s="2" t="s">
        <v>42</v>
      </c>
      <c r="D15" s="2" t="s">
        <v>43</v>
      </c>
      <c r="E15" s="1">
        <v>5</v>
      </c>
      <c r="F15" s="1"/>
      <c r="G15" s="1"/>
      <c r="H15" s="1"/>
      <c r="I15" s="2" t="s">
        <v>34</v>
      </c>
      <c r="J15" s="2" t="s">
        <v>44</v>
      </c>
      <c r="K15" s="1"/>
      <c r="L15" s="1"/>
    </row>
    <row r="16" spans="1:12" x14ac:dyDescent="0.3">
      <c r="A16" s="2">
        <f t="shared" si="0"/>
        <v>15</v>
      </c>
      <c r="B16" s="2" t="s">
        <v>45</v>
      </c>
      <c r="C16" s="2" t="s">
        <v>168</v>
      </c>
      <c r="D16" s="2" t="s">
        <v>46</v>
      </c>
      <c r="E16" s="1">
        <v>1</v>
      </c>
      <c r="F16" s="1"/>
      <c r="G16" s="2" t="s">
        <v>50</v>
      </c>
      <c r="H16" s="2" t="s">
        <v>51</v>
      </c>
      <c r="I16" s="2" t="s">
        <v>34</v>
      </c>
      <c r="J16" s="2" t="s">
        <v>47</v>
      </c>
      <c r="K16" s="1"/>
      <c r="L16" s="1"/>
    </row>
    <row r="17" spans="1:12" x14ac:dyDescent="0.3">
      <c r="A17" s="2">
        <f t="shared" si="0"/>
        <v>16</v>
      </c>
      <c r="B17" s="2" t="s">
        <v>45</v>
      </c>
      <c r="C17" s="2" t="s">
        <v>168</v>
      </c>
      <c r="D17" s="2" t="s">
        <v>48</v>
      </c>
      <c r="E17" s="1">
        <v>5</v>
      </c>
      <c r="F17" s="2" t="s">
        <v>49</v>
      </c>
      <c r="G17" s="2" t="s">
        <v>50</v>
      </c>
      <c r="H17" s="2" t="s">
        <v>51</v>
      </c>
      <c r="I17" s="2" t="s">
        <v>34</v>
      </c>
      <c r="J17" s="2" t="s">
        <v>47</v>
      </c>
      <c r="K17" s="1"/>
      <c r="L17" s="1"/>
    </row>
    <row r="18" spans="1:12" x14ac:dyDescent="0.3">
      <c r="A18" s="2">
        <f t="shared" si="0"/>
        <v>17</v>
      </c>
      <c r="B18" s="2" t="s">
        <v>52</v>
      </c>
      <c r="C18" s="2" t="s">
        <v>53</v>
      </c>
      <c r="D18" s="2" t="s">
        <v>54</v>
      </c>
      <c r="E18" s="1">
        <v>1</v>
      </c>
      <c r="F18" s="1"/>
      <c r="G18" s="1"/>
      <c r="H18" s="1"/>
      <c r="I18" s="2" t="s">
        <v>55</v>
      </c>
      <c r="J18" s="2" t="s">
        <v>56</v>
      </c>
      <c r="K18" s="1"/>
      <c r="L18" s="1"/>
    </row>
    <row r="19" spans="1:12" x14ac:dyDescent="0.3">
      <c r="A19" s="2">
        <f t="shared" si="0"/>
        <v>18</v>
      </c>
      <c r="B19" s="2" t="s">
        <v>57</v>
      </c>
      <c r="C19" s="2" t="s">
        <v>58</v>
      </c>
      <c r="D19" s="2" t="s">
        <v>59</v>
      </c>
      <c r="E19" s="1">
        <v>1</v>
      </c>
      <c r="F19" s="1"/>
      <c r="G19" s="1"/>
      <c r="H19" s="1"/>
      <c r="I19" s="2" t="s">
        <v>26</v>
      </c>
      <c r="J19" s="2" t="s">
        <v>60</v>
      </c>
      <c r="K19" s="1"/>
      <c r="L19" s="1"/>
    </row>
    <row r="20" spans="1:12" x14ac:dyDescent="0.3">
      <c r="A20" s="2">
        <f t="shared" si="0"/>
        <v>19</v>
      </c>
      <c r="B20" s="2" t="s">
        <v>61</v>
      </c>
      <c r="C20" s="2" t="s">
        <v>62</v>
      </c>
      <c r="D20" s="2" t="s">
        <v>63</v>
      </c>
      <c r="E20" s="1">
        <v>4</v>
      </c>
      <c r="F20" s="1"/>
      <c r="G20" s="1"/>
      <c r="H20" s="1"/>
      <c r="I20" s="1"/>
      <c r="J20" s="1"/>
      <c r="K20" s="1"/>
      <c r="L20" s="1"/>
    </row>
    <row r="21" spans="1:12" x14ac:dyDescent="0.3">
      <c r="A21" s="2">
        <f t="shared" si="0"/>
        <v>20</v>
      </c>
      <c r="B21" s="2" t="s">
        <v>163</v>
      </c>
      <c r="C21" s="2" t="s">
        <v>64</v>
      </c>
      <c r="D21" s="2" t="s">
        <v>65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2">
        <f t="shared" si="0"/>
        <v>21</v>
      </c>
      <c r="B22" s="2" t="s">
        <v>66</v>
      </c>
      <c r="C22" s="2" t="s">
        <v>67</v>
      </c>
      <c r="D22" s="2" t="s">
        <v>68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>
        <f t="shared" si="0"/>
        <v>22</v>
      </c>
      <c r="B23" s="2" t="s">
        <v>69</v>
      </c>
      <c r="C23" s="2" t="s">
        <v>70</v>
      </c>
      <c r="D23" s="2" t="s">
        <v>71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>
        <f t="shared" si="0"/>
        <v>23</v>
      </c>
      <c r="B24" s="2" t="s">
        <v>72</v>
      </c>
      <c r="C24" s="2" t="s">
        <v>170</v>
      </c>
      <c r="D24" s="2" t="s">
        <v>73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>
        <f t="shared" si="0"/>
        <v>24</v>
      </c>
      <c r="B25" s="2" t="s">
        <v>72</v>
      </c>
      <c r="C25" s="2" t="s">
        <v>170</v>
      </c>
      <c r="D25" s="2" t="s">
        <v>74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">
      <c r="A26" s="2">
        <f t="shared" si="0"/>
        <v>25</v>
      </c>
      <c r="B26" s="2" t="s">
        <v>75</v>
      </c>
      <c r="C26" s="2" t="s">
        <v>76</v>
      </c>
      <c r="D26" s="2" t="s">
        <v>77</v>
      </c>
      <c r="E26" s="1">
        <v>8</v>
      </c>
      <c r="F26" s="1"/>
      <c r="G26" s="1"/>
      <c r="H26" s="1"/>
      <c r="I26" s="1"/>
      <c r="J26" s="1"/>
      <c r="K26" s="1"/>
      <c r="L26" s="1"/>
    </row>
    <row r="27" spans="1:12" x14ac:dyDescent="0.3">
      <c r="A27" s="2">
        <f t="shared" si="0"/>
        <v>26</v>
      </c>
      <c r="B27" s="2" t="s">
        <v>78</v>
      </c>
      <c r="C27" s="2" t="s">
        <v>79</v>
      </c>
      <c r="D27" s="2" t="s">
        <v>80</v>
      </c>
      <c r="E27" s="1">
        <v>6</v>
      </c>
      <c r="F27" s="1"/>
      <c r="G27" s="1"/>
      <c r="H27" s="1"/>
      <c r="I27" s="2" t="s">
        <v>34</v>
      </c>
      <c r="J27" s="2" t="s">
        <v>81</v>
      </c>
      <c r="K27" s="1"/>
      <c r="L27" s="1"/>
    </row>
    <row r="28" spans="1:12" x14ac:dyDescent="0.3">
      <c r="A28" s="2">
        <f t="shared" si="0"/>
        <v>27</v>
      </c>
      <c r="B28" s="2" t="s">
        <v>82</v>
      </c>
      <c r="C28" s="2" t="s">
        <v>83</v>
      </c>
      <c r="D28" s="2" t="s">
        <v>84</v>
      </c>
      <c r="E28" s="1">
        <v>2</v>
      </c>
      <c r="F28" s="1"/>
      <c r="G28" s="1"/>
      <c r="H28" s="1"/>
      <c r="I28" s="2" t="s">
        <v>34</v>
      </c>
      <c r="J28" s="2" t="s">
        <v>85</v>
      </c>
      <c r="K28" s="1"/>
      <c r="L28" s="1"/>
    </row>
    <row r="29" spans="1:12" x14ac:dyDescent="0.3">
      <c r="A29" s="2">
        <f t="shared" si="0"/>
        <v>28</v>
      </c>
      <c r="B29" s="2" t="s">
        <v>86</v>
      </c>
      <c r="C29" s="2" t="s">
        <v>87</v>
      </c>
      <c r="D29" s="2" t="s">
        <v>88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">
      <c r="A30" s="2">
        <f t="shared" si="0"/>
        <v>29</v>
      </c>
      <c r="B30" s="2" t="s">
        <v>89</v>
      </c>
      <c r="C30" s="2" t="s">
        <v>87</v>
      </c>
      <c r="D30" s="2" t="s">
        <v>90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2">
        <f t="shared" si="0"/>
        <v>30</v>
      </c>
      <c r="B31" s="2" t="s">
        <v>91</v>
      </c>
      <c r="C31" s="2" t="s">
        <v>87</v>
      </c>
      <c r="D31" s="2" t="s">
        <v>92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2">
        <f t="shared" si="0"/>
        <v>31</v>
      </c>
      <c r="B32" s="2" t="s">
        <v>93</v>
      </c>
      <c r="C32" s="2" t="s">
        <v>87</v>
      </c>
      <c r="D32" s="2" t="s">
        <v>94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3">
      <c r="A33" s="2">
        <f t="shared" si="0"/>
        <v>32</v>
      </c>
      <c r="B33" s="2" t="s">
        <v>95</v>
      </c>
      <c r="C33" s="2" t="s">
        <v>162</v>
      </c>
      <c r="D33" s="2" t="s">
        <v>96</v>
      </c>
      <c r="E33" s="1">
        <v>1</v>
      </c>
      <c r="F33" s="2" t="s">
        <v>97</v>
      </c>
      <c r="G33" s="2"/>
      <c r="H33" s="2"/>
      <c r="I33" s="2"/>
      <c r="J33" s="2"/>
      <c r="K33" s="1"/>
      <c r="L33" s="1"/>
    </row>
    <row r="34" spans="1:12" x14ac:dyDescent="0.3">
      <c r="A34" s="2">
        <f t="shared" si="0"/>
        <v>33</v>
      </c>
      <c r="B34" s="2" t="s">
        <v>99</v>
      </c>
      <c r="C34" s="2" t="s">
        <v>158</v>
      </c>
      <c r="D34" s="2" t="s">
        <v>100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2">
        <f t="shared" si="0"/>
        <v>34</v>
      </c>
      <c r="B35" s="2" t="s">
        <v>101</v>
      </c>
      <c r="C35" s="2" t="s">
        <v>159</v>
      </c>
      <c r="D35" s="2" t="s">
        <v>102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x14ac:dyDescent="0.3">
      <c r="A36" s="2">
        <f t="shared" si="0"/>
        <v>35</v>
      </c>
      <c r="B36" s="2" t="s">
        <v>103</v>
      </c>
      <c r="C36" s="2" t="s">
        <v>160</v>
      </c>
      <c r="D36" s="2" t="s">
        <v>104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3">
      <c r="A37" s="2">
        <f t="shared" si="0"/>
        <v>36</v>
      </c>
      <c r="B37" s="2" t="s">
        <v>105</v>
      </c>
      <c r="C37" s="2" t="s">
        <v>160</v>
      </c>
      <c r="D37" s="2" t="s">
        <v>106</v>
      </c>
      <c r="E37" s="1">
        <v>4</v>
      </c>
      <c r="F37" s="1"/>
      <c r="G37" s="1"/>
      <c r="H37" s="1"/>
      <c r="I37" s="1"/>
      <c r="J37" s="1"/>
      <c r="K37" s="1"/>
      <c r="L37" s="1"/>
    </row>
    <row r="38" spans="1:12" x14ac:dyDescent="0.3">
      <c r="A38" s="2">
        <f t="shared" si="0"/>
        <v>37</v>
      </c>
      <c r="B38" s="2" t="s">
        <v>95</v>
      </c>
      <c r="C38" s="2" t="s">
        <v>161</v>
      </c>
      <c r="D38" s="2" t="s">
        <v>107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2">
        <f t="shared" si="0"/>
        <v>38</v>
      </c>
      <c r="B39" s="2" t="s">
        <v>95</v>
      </c>
      <c r="C39" s="2" t="s">
        <v>157</v>
      </c>
      <c r="D39" s="2" t="s">
        <v>108</v>
      </c>
      <c r="E39" s="1">
        <v>5</v>
      </c>
      <c r="F39" s="1"/>
      <c r="G39" s="1"/>
      <c r="H39" s="1"/>
      <c r="I39" s="1"/>
      <c r="J39" s="1"/>
      <c r="K39" s="1"/>
      <c r="L39" s="1"/>
    </row>
    <row r="40" spans="1:12" x14ac:dyDescent="0.3">
      <c r="A40" s="2">
        <f t="shared" si="0"/>
        <v>39</v>
      </c>
      <c r="B40" s="2" t="s">
        <v>109</v>
      </c>
      <c r="C40" s="2" t="s">
        <v>157</v>
      </c>
      <c r="D40" s="2" t="s">
        <v>110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3">
      <c r="A41" s="2">
        <f t="shared" si="0"/>
        <v>40</v>
      </c>
      <c r="B41" s="2" t="s">
        <v>103</v>
      </c>
      <c r="C41" s="2" t="s">
        <v>157</v>
      </c>
      <c r="D41" s="2" t="s">
        <v>111</v>
      </c>
      <c r="E41" s="1">
        <v>2</v>
      </c>
      <c r="F41" s="1"/>
      <c r="G41" s="1"/>
      <c r="H41" s="1"/>
      <c r="I41" s="1"/>
      <c r="J41" s="1"/>
      <c r="K41" s="1"/>
      <c r="L41" s="1"/>
    </row>
    <row r="42" spans="1:12" x14ac:dyDescent="0.3">
      <c r="A42" s="2">
        <f t="shared" si="0"/>
        <v>41</v>
      </c>
      <c r="B42" s="2" t="s">
        <v>112</v>
      </c>
      <c r="C42" s="2" t="s">
        <v>157</v>
      </c>
      <c r="D42" s="2" t="s">
        <v>113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3">
      <c r="A43" s="2">
        <f t="shared" si="0"/>
        <v>42</v>
      </c>
      <c r="B43" s="2" t="s">
        <v>114</v>
      </c>
      <c r="C43" s="2" t="s">
        <v>157</v>
      </c>
      <c r="D43" s="2" t="s">
        <v>115</v>
      </c>
      <c r="E43" s="1">
        <v>2</v>
      </c>
      <c r="F43" s="1"/>
      <c r="G43" s="1"/>
      <c r="H43" s="1"/>
      <c r="I43" s="1"/>
      <c r="J43" s="1"/>
      <c r="K43" s="1"/>
      <c r="L43" s="1"/>
    </row>
    <row r="44" spans="1:12" x14ac:dyDescent="0.3">
      <c r="A44" s="2">
        <f t="shared" si="0"/>
        <v>43</v>
      </c>
      <c r="B44" s="2" t="s">
        <v>116</v>
      </c>
      <c r="C44" s="2" t="s">
        <v>117</v>
      </c>
      <c r="D44" s="2" t="s">
        <v>118</v>
      </c>
      <c r="E44" s="1">
        <v>4</v>
      </c>
      <c r="F44" s="1"/>
      <c r="G44" s="1"/>
      <c r="H44" s="1"/>
      <c r="I44" s="2" t="s">
        <v>119</v>
      </c>
      <c r="J44" s="2" t="s">
        <v>120</v>
      </c>
      <c r="K44" s="1"/>
      <c r="L44" s="1"/>
    </row>
    <row r="45" spans="1:12" x14ac:dyDescent="0.3">
      <c r="A45" s="2">
        <f t="shared" si="0"/>
        <v>44</v>
      </c>
      <c r="B45" s="2" t="s">
        <v>121</v>
      </c>
      <c r="C45" s="2" t="s">
        <v>122</v>
      </c>
      <c r="D45" s="2" t="s">
        <v>123</v>
      </c>
      <c r="E45" s="1">
        <v>4</v>
      </c>
      <c r="F45" s="1"/>
      <c r="G45" s="1"/>
      <c r="H45" s="1"/>
      <c r="I45" s="2" t="s">
        <v>34</v>
      </c>
      <c r="J45" s="2" t="s">
        <v>124</v>
      </c>
      <c r="K45" s="1"/>
      <c r="L45" s="1"/>
    </row>
    <row r="46" spans="1:12" x14ac:dyDescent="0.3">
      <c r="A46" s="2">
        <f t="shared" si="0"/>
        <v>45</v>
      </c>
      <c r="B46" s="2" t="s">
        <v>125</v>
      </c>
      <c r="C46" s="2" t="s">
        <v>126</v>
      </c>
      <c r="D46" s="2" t="s">
        <v>127</v>
      </c>
      <c r="E46" s="1">
        <v>4</v>
      </c>
      <c r="F46" s="1"/>
      <c r="G46" s="1"/>
      <c r="H46" s="1"/>
      <c r="I46" s="2" t="s">
        <v>34</v>
      </c>
      <c r="J46" s="2" t="s">
        <v>128</v>
      </c>
      <c r="K46" s="1"/>
      <c r="L46" s="1"/>
    </row>
    <row r="47" spans="1:12" x14ac:dyDescent="0.3">
      <c r="A47" s="2">
        <f t="shared" si="0"/>
        <v>46</v>
      </c>
      <c r="B47" s="2" t="s">
        <v>156</v>
      </c>
      <c r="C47" s="2" t="s">
        <v>155</v>
      </c>
      <c r="D47" s="2" t="s">
        <v>129</v>
      </c>
      <c r="E47" s="1">
        <v>4</v>
      </c>
      <c r="F47" s="1"/>
      <c r="G47" s="1"/>
      <c r="H47" s="1"/>
      <c r="I47" s="1"/>
      <c r="J47" s="1"/>
      <c r="K47" s="1"/>
      <c r="L47" s="1"/>
    </row>
    <row r="48" spans="1:12" x14ac:dyDescent="0.3">
      <c r="A48" s="2">
        <f t="shared" si="0"/>
        <v>47</v>
      </c>
      <c r="B48" s="2" t="s">
        <v>154</v>
      </c>
      <c r="C48" s="2" t="s">
        <v>153</v>
      </c>
      <c r="D48" s="2" t="s">
        <v>130</v>
      </c>
      <c r="E48" s="1">
        <v>3</v>
      </c>
      <c r="F48" s="1"/>
      <c r="G48" s="1"/>
      <c r="H48" s="1"/>
      <c r="I48" s="1"/>
      <c r="J48" s="1"/>
      <c r="K48" s="1"/>
      <c r="L48" s="1"/>
    </row>
    <row r="49" spans="1:12" x14ac:dyDescent="0.3">
      <c r="A49" s="2">
        <f t="shared" si="0"/>
        <v>48</v>
      </c>
      <c r="B49" s="2" t="s">
        <v>131</v>
      </c>
      <c r="C49" s="2" t="s">
        <v>132</v>
      </c>
      <c r="D49" s="2" t="s">
        <v>133</v>
      </c>
      <c r="E49" s="1">
        <v>2</v>
      </c>
      <c r="F49" s="1"/>
      <c r="G49" s="1"/>
      <c r="H49" s="1"/>
      <c r="I49" s="1"/>
      <c r="J49" s="1"/>
      <c r="K49" s="1"/>
      <c r="L49" s="1"/>
    </row>
    <row r="50" spans="1:12" x14ac:dyDescent="0.3">
      <c r="A50" s="2">
        <f t="shared" si="0"/>
        <v>49</v>
      </c>
      <c r="B50" s="2" t="s">
        <v>134</v>
      </c>
      <c r="C50" s="2" t="s">
        <v>135</v>
      </c>
      <c r="D50" s="2" t="s">
        <v>136</v>
      </c>
      <c r="E50" s="1">
        <v>1</v>
      </c>
      <c r="F50" s="1"/>
      <c r="G50" s="1"/>
      <c r="H50" s="1"/>
      <c r="I50" s="1"/>
      <c r="J50" s="1"/>
      <c r="K50" s="1"/>
      <c r="L50" s="1"/>
    </row>
    <row r="51" spans="1:12" x14ac:dyDescent="0.3">
      <c r="A51" s="2">
        <f t="shared" si="0"/>
        <v>50</v>
      </c>
      <c r="B51" s="2" t="s">
        <v>137</v>
      </c>
      <c r="C51" s="2" t="s">
        <v>138</v>
      </c>
      <c r="D51" s="2" t="s">
        <v>139</v>
      </c>
      <c r="E51" s="1">
        <v>1</v>
      </c>
      <c r="F51" s="1"/>
      <c r="G51" s="1"/>
      <c r="H51" s="1"/>
      <c r="I51" s="1"/>
      <c r="J51" s="1"/>
      <c r="K51" s="1"/>
      <c r="L51" s="1"/>
    </row>
    <row r="52" spans="1:12" x14ac:dyDescent="0.3">
      <c r="A52" s="2">
        <f t="shared" si="0"/>
        <v>51</v>
      </c>
      <c r="B52" s="2" t="s">
        <v>140</v>
      </c>
      <c r="C52" s="2" t="s">
        <v>141</v>
      </c>
      <c r="D52" s="2" t="s">
        <v>142</v>
      </c>
      <c r="E52" s="1">
        <v>1</v>
      </c>
      <c r="F52" s="1"/>
      <c r="G52" s="1"/>
      <c r="H52" s="1"/>
      <c r="I52" s="1"/>
      <c r="J52" s="1"/>
      <c r="K52" s="1"/>
      <c r="L52" s="1"/>
    </row>
    <row r="53" spans="1:12" x14ac:dyDescent="0.3">
      <c r="A53" s="2">
        <f t="shared" si="0"/>
        <v>52</v>
      </c>
      <c r="B53" s="2" t="s">
        <v>143</v>
      </c>
      <c r="C53" s="2" t="s">
        <v>152</v>
      </c>
      <c r="D53" s="2" t="s">
        <v>144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">
      <c r="A54" s="2">
        <f t="shared" si="0"/>
        <v>53</v>
      </c>
      <c r="B54" s="2" t="s">
        <v>145</v>
      </c>
      <c r="C54" s="2" t="s">
        <v>146</v>
      </c>
      <c r="D54" s="2" t="s">
        <v>147</v>
      </c>
      <c r="E54" s="1">
        <v>2</v>
      </c>
      <c r="F54" s="1"/>
      <c r="G54" s="1"/>
      <c r="H54" s="1"/>
      <c r="I54" s="2" t="s">
        <v>98</v>
      </c>
      <c r="J54" s="2" t="s">
        <v>148</v>
      </c>
      <c r="K54" s="1"/>
      <c r="L54" s="1"/>
    </row>
    <row r="55" spans="1:12" x14ac:dyDescent="0.3">
      <c r="A55" s="2">
        <f t="shared" si="0"/>
        <v>54</v>
      </c>
      <c r="B55" s="2" t="s">
        <v>169</v>
      </c>
      <c r="C55" s="2" t="s">
        <v>146</v>
      </c>
      <c r="D55" s="2" t="s">
        <v>149</v>
      </c>
      <c r="E55" s="1">
        <v>1</v>
      </c>
      <c r="F55" s="1"/>
      <c r="G55" s="1"/>
      <c r="H55" s="1"/>
      <c r="I55" s="2" t="s">
        <v>98</v>
      </c>
      <c r="J55" s="2" t="s">
        <v>148</v>
      </c>
      <c r="K55" s="1"/>
      <c r="L55" s="1"/>
    </row>
    <row r="56" spans="1:12" x14ac:dyDescent="0.3">
      <c r="A56" s="2">
        <f t="shared" si="0"/>
        <v>55</v>
      </c>
      <c r="B56" s="2" t="s">
        <v>150</v>
      </c>
      <c r="C56" s="2" t="s">
        <v>146</v>
      </c>
      <c r="D56" s="2" t="s">
        <v>151</v>
      </c>
      <c r="E56" s="1">
        <v>1</v>
      </c>
      <c r="F56" s="1"/>
      <c r="G56" s="1"/>
      <c r="H56" s="1"/>
      <c r="I56" s="2" t="s">
        <v>98</v>
      </c>
      <c r="J56" s="2" t="s">
        <v>148</v>
      </c>
      <c r="K56" s="1"/>
      <c r="L56" s="1"/>
    </row>
    <row r="57" spans="1:12" x14ac:dyDescent="0.3">
      <c r="A57" s="1"/>
    </row>
    <row r="58" spans="1:12" x14ac:dyDescent="0.3">
      <c r="A58" s="1"/>
      <c r="B58" s="2"/>
      <c r="C58" s="2"/>
      <c r="D58" s="2"/>
      <c r="E58" s="1"/>
      <c r="F58" s="1"/>
      <c r="G58" s="1"/>
      <c r="H58" s="1"/>
      <c r="I58" s="1"/>
      <c r="J58" s="1"/>
      <c r="K58" s="1"/>
      <c r="L58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RheoBoard_Adafruit_V9</vt:lpstr>
      <vt:lpstr>RheoBoard_Adafruit_V9!Print_Titles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Khoa</dc:creator>
  <cp:lastModifiedBy>Nguyễn Khoa</cp:lastModifiedBy>
  <dcterms:created xsi:type="dcterms:W3CDTF">2026-07-13T10:47:33Z</dcterms:created>
  <dcterms:modified xsi:type="dcterms:W3CDTF">2026-07-28T07:53:36Z</dcterms:modified>
</cp:coreProperties>
</file>